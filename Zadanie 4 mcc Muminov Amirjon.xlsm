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З по МСС\"/>
    </mc:Choice>
  </mc:AlternateContent>
  <xr:revisionPtr revIDLastSave="0" documentId="13_ncr:1_{6E1AFE7E-06C7-4475-9086-AD7D25416A00}" xr6:coauthVersionLast="46" xr6:coauthVersionMax="46" xr10:uidLastSave="{00000000-0000-0000-0000-000000000000}"/>
  <bookViews>
    <workbookView xWindow="-120" yWindow="-120" windowWidth="20730" windowHeight="11160" xr2:uid="{1B879FFD-2000-4451-AAB9-966A1E065489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6" i="1"/>
  <c r="K6" i="1"/>
  <c r="L6" i="1"/>
  <c r="M6" i="1"/>
  <c r="N6" i="1"/>
  <c r="O6" i="1"/>
  <c r="P6" i="1"/>
  <c r="Q6" i="1"/>
  <c r="R6" i="1"/>
  <c r="S6" i="1"/>
  <c r="T6" i="1"/>
  <c r="U6" i="1"/>
  <c r="I7" i="1"/>
  <c r="I72" i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J58" i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I58" i="1"/>
  <c r="V57" i="1"/>
  <c r="U57" i="1"/>
  <c r="T57" i="1"/>
  <c r="S57" i="1"/>
  <c r="R57" i="1"/>
  <c r="Q57" i="1"/>
  <c r="G56" i="1"/>
  <c r="G55" i="1"/>
  <c r="G54" i="1" s="1"/>
  <c r="G53" i="1"/>
  <c r="G52" i="1" s="1"/>
  <c r="G51" i="1" s="1"/>
  <c r="G50" i="1" s="1"/>
  <c r="G49" i="1" s="1"/>
  <c r="G48" i="1" s="1"/>
  <c r="G47" i="1" s="1"/>
  <c r="K52" i="1"/>
  <c r="J52" i="1"/>
  <c r="I52" i="1"/>
  <c r="H52" i="1"/>
  <c r="M44" i="1"/>
  <c r="N44" i="1" s="1"/>
  <c r="O44" i="1" s="1"/>
  <c r="P44" i="1" s="1"/>
  <c r="Q44" i="1" s="1"/>
  <c r="R44" i="1" s="1"/>
  <c r="S44" i="1" s="1"/>
  <c r="T44" i="1" s="1"/>
  <c r="U44" i="1" s="1"/>
  <c r="V44" i="1" s="1"/>
  <c r="I44" i="1"/>
  <c r="J44" i="1" s="1"/>
  <c r="K44" i="1" s="1"/>
  <c r="L44" i="1" s="1"/>
  <c r="G42" i="1"/>
  <c r="G41" i="1" s="1"/>
  <c r="G40" i="1"/>
  <c r="G39" i="1"/>
  <c r="G38" i="1" s="1"/>
  <c r="G37" i="1" s="1"/>
  <c r="G36" i="1" s="1"/>
  <c r="G35" i="1" s="1"/>
  <c r="G34" i="1" s="1"/>
  <c r="G33" i="1" s="1"/>
  <c r="I30" i="1"/>
  <c r="J30" i="1" s="1"/>
  <c r="K30" i="1" s="1"/>
  <c r="G28" i="1"/>
  <c r="G27" i="1"/>
  <c r="G26" i="1"/>
  <c r="G25" i="1" s="1"/>
  <c r="G24" i="1" s="1"/>
  <c r="G23" i="1" s="1"/>
  <c r="G22" i="1" s="1"/>
  <c r="G21" i="1" s="1"/>
  <c r="G20" i="1" s="1"/>
  <c r="G19" i="1" s="1"/>
  <c r="Z25" i="1"/>
  <c r="Z26" i="1" s="1"/>
  <c r="AB20" i="1"/>
  <c r="AA20" i="1"/>
  <c r="Z20" i="1"/>
  <c r="J16" i="1"/>
  <c r="K16" i="1" s="1"/>
  <c r="I16" i="1"/>
  <c r="U14" i="1"/>
  <c r="T14" i="1"/>
  <c r="S14" i="1"/>
  <c r="R14" i="1"/>
  <c r="Q14" i="1"/>
  <c r="G14" i="1"/>
  <c r="U13" i="1"/>
  <c r="T13" i="1"/>
  <c r="S13" i="1"/>
  <c r="R13" i="1"/>
  <c r="Q13" i="1"/>
  <c r="Q42" i="1" s="1"/>
  <c r="P13" i="1"/>
  <c r="G13" i="1"/>
  <c r="Z12" i="1"/>
  <c r="U12" i="1"/>
  <c r="T12" i="1"/>
  <c r="S12" i="1"/>
  <c r="R12" i="1"/>
  <c r="Q12" i="1"/>
  <c r="P12" i="1"/>
  <c r="O12" i="1"/>
  <c r="G12" i="1"/>
  <c r="U11" i="1"/>
  <c r="T11" i="1"/>
  <c r="S11" i="1"/>
  <c r="R11" i="1"/>
  <c r="Q11" i="1"/>
  <c r="P11" i="1"/>
  <c r="O11" i="1"/>
  <c r="N11" i="1"/>
  <c r="G11" i="1"/>
  <c r="AN10" i="1"/>
  <c r="AM10" i="1"/>
  <c r="AL10" i="1"/>
  <c r="AK10" i="1"/>
  <c r="AJ10" i="1"/>
  <c r="AI10" i="1"/>
  <c r="AC10" i="1"/>
  <c r="AB10" i="1"/>
  <c r="AA10" i="1"/>
  <c r="Z10" i="1"/>
  <c r="U10" i="1"/>
  <c r="T10" i="1"/>
  <c r="S10" i="1"/>
  <c r="R10" i="1"/>
  <c r="Q10" i="1"/>
  <c r="P10" i="1"/>
  <c r="O10" i="1"/>
  <c r="N10" i="1"/>
  <c r="M10" i="1"/>
  <c r="G10" i="1"/>
  <c r="G9" i="1" s="1"/>
  <c r="G8" i="1" s="1"/>
  <c r="G7" i="1" s="1"/>
  <c r="G6" i="1" s="1"/>
  <c r="G5" i="1" s="1"/>
  <c r="B6" i="1" s="1"/>
  <c r="V14" i="1" s="1"/>
  <c r="U9" i="1"/>
  <c r="T9" i="1"/>
  <c r="S9" i="1"/>
  <c r="R9" i="1"/>
  <c r="Q9" i="1"/>
  <c r="P9" i="1"/>
  <c r="O9" i="1"/>
  <c r="N9" i="1"/>
  <c r="M9" i="1"/>
  <c r="L9" i="1"/>
  <c r="L38" i="1" s="1"/>
  <c r="K9" i="1"/>
  <c r="K38" i="1" s="1"/>
  <c r="J9" i="1"/>
  <c r="I9" i="1"/>
  <c r="H9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U8" i="1"/>
  <c r="T8" i="1"/>
  <c r="S8" i="1"/>
  <c r="R8" i="1"/>
  <c r="Q8" i="1"/>
  <c r="P8" i="1"/>
  <c r="O8" i="1"/>
  <c r="N8" i="1"/>
  <c r="M8" i="1"/>
  <c r="L8" i="1"/>
  <c r="K8" i="1"/>
  <c r="K37" i="1" s="1"/>
  <c r="J8" i="1"/>
  <c r="I8" i="1"/>
  <c r="H8" i="1"/>
  <c r="AB7" i="1"/>
  <c r="AA7" i="1"/>
  <c r="Z7" i="1"/>
  <c r="U7" i="1"/>
  <c r="T7" i="1"/>
  <c r="S7" i="1"/>
  <c r="R7" i="1"/>
  <c r="Q7" i="1"/>
  <c r="P7" i="1"/>
  <c r="O7" i="1"/>
  <c r="N7" i="1"/>
  <c r="M7" i="1"/>
  <c r="L7" i="1"/>
  <c r="K7" i="1"/>
  <c r="J7" i="1"/>
  <c r="H7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T35" i="1"/>
  <c r="H6" i="1"/>
  <c r="H5" i="1"/>
  <c r="M48" i="1" l="1"/>
  <c r="L49" i="1"/>
  <c r="P49" i="1"/>
  <c r="T49" i="1"/>
  <c r="T63" i="1" s="1"/>
  <c r="L48" i="1"/>
  <c r="P48" i="1"/>
  <c r="T48" i="1"/>
  <c r="R36" i="1"/>
  <c r="R37" i="1"/>
  <c r="I49" i="1"/>
  <c r="M49" i="1"/>
  <c r="Q49" i="1"/>
  <c r="O37" i="1"/>
  <c r="S37" i="1"/>
  <c r="Q52" i="1"/>
  <c r="R35" i="1"/>
  <c r="I50" i="1"/>
  <c r="M50" i="1"/>
  <c r="Q50" i="1"/>
  <c r="S53" i="1"/>
  <c r="AC7" i="1"/>
  <c r="L16" i="1"/>
  <c r="L30" i="1"/>
  <c r="AC20" i="1"/>
  <c r="K66" i="1"/>
  <c r="AC9" i="1"/>
  <c r="AC11" i="1" s="1"/>
  <c r="V43" i="1"/>
  <c r="V13" i="1"/>
  <c r="AN21" i="1"/>
  <c r="AJ21" i="1"/>
  <c r="AF21" i="1"/>
  <c r="AB21" i="1"/>
  <c r="AM21" i="1"/>
  <c r="AI21" i="1"/>
  <c r="AE21" i="1"/>
  <c r="AA21" i="1"/>
  <c r="AL21" i="1"/>
  <c r="AH21" i="1"/>
  <c r="AD21" i="1"/>
  <c r="Z21" i="1"/>
  <c r="AK21" i="1"/>
  <c r="AG21" i="1"/>
  <c r="AC21" i="1"/>
  <c r="AD9" i="1"/>
  <c r="J35" i="1"/>
  <c r="K48" i="1"/>
  <c r="N35" i="1"/>
  <c r="O48" i="1"/>
  <c r="J51" i="1"/>
  <c r="I38" i="1"/>
  <c r="N51" i="1"/>
  <c r="M38" i="1"/>
  <c r="R51" i="1"/>
  <c r="Q38" i="1"/>
  <c r="U38" i="1"/>
  <c r="P52" i="1"/>
  <c r="O39" i="1"/>
  <c r="S39" i="1"/>
  <c r="T52" i="1"/>
  <c r="O53" i="1"/>
  <c r="M53" i="1"/>
  <c r="AE10" i="1" s="1"/>
  <c r="R41" i="1"/>
  <c r="S54" i="1"/>
  <c r="T55" i="1"/>
  <c r="S42" i="1"/>
  <c r="Z13" i="1"/>
  <c r="P56" i="1"/>
  <c r="AH10" i="1" s="1"/>
  <c r="R56" i="1"/>
  <c r="U43" i="1"/>
  <c r="V56" i="1"/>
  <c r="K35" i="1"/>
  <c r="S35" i="1"/>
  <c r="K36" i="1"/>
  <c r="S36" i="1"/>
  <c r="N40" i="1"/>
  <c r="S48" i="1"/>
  <c r="H50" i="1"/>
  <c r="J50" i="1"/>
  <c r="I37" i="1"/>
  <c r="N50" i="1"/>
  <c r="M37" i="1"/>
  <c r="R50" i="1"/>
  <c r="Q37" i="1"/>
  <c r="U37" i="1"/>
  <c r="J38" i="1"/>
  <c r="K51" i="1"/>
  <c r="K65" i="1" s="1"/>
  <c r="N38" i="1"/>
  <c r="O51" i="1"/>
  <c r="R38" i="1"/>
  <c r="S51" i="1"/>
  <c r="S65" i="1" s="1"/>
  <c r="P53" i="1"/>
  <c r="N53" i="1"/>
  <c r="O40" i="1"/>
  <c r="S40" i="1"/>
  <c r="T53" i="1"/>
  <c r="P54" i="1"/>
  <c r="N54" i="1"/>
  <c r="AF10" i="1" s="1"/>
  <c r="S41" i="1"/>
  <c r="T54" i="1"/>
  <c r="P42" i="1"/>
  <c r="Q55" i="1"/>
  <c r="O55" i="1"/>
  <c r="AG10" i="1" s="1"/>
  <c r="T42" i="1"/>
  <c r="U55" i="1"/>
  <c r="S56" i="1"/>
  <c r="R43" i="1"/>
  <c r="Q56" i="1"/>
  <c r="Q70" i="1" s="1"/>
  <c r="Z19" i="1"/>
  <c r="L35" i="1"/>
  <c r="L36" i="1"/>
  <c r="T36" i="1"/>
  <c r="L37" i="1"/>
  <c r="T37" i="1"/>
  <c r="P39" i="1"/>
  <c r="R40" i="1"/>
  <c r="H49" i="1"/>
  <c r="I5" i="1"/>
  <c r="I48" i="1"/>
  <c r="Q48" i="1"/>
  <c r="J49" i="1"/>
  <c r="I36" i="1"/>
  <c r="I64" i="1" s="1"/>
  <c r="N49" i="1"/>
  <c r="M36" i="1"/>
  <c r="R49" i="1"/>
  <c r="R63" i="1" s="1"/>
  <c r="Q36" i="1"/>
  <c r="U36" i="1"/>
  <c r="J37" i="1"/>
  <c r="K50" i="1"/>
  <c r="N37" i="1"/>
  <c r="O50" i="1"/>
  <c r="L51" i="1"/>
  <c r="P51" i="1"/>
  <c r="T51" i="1"/>
  <c r="N52" i="1"/>
  <c r="M39" i="1"/>
  <c r="L52" i="1"/>
  <c r="AD10" i="1" s="1"/>
  <c r="R52" i="1"/>
  <c r="Q39" i="1"/>
  <c r="U39" i="1"/>
  <c r="P40" i="1"/>
  <c r="Q53" i="1"/>
  <c r="T40" i="1"/>
  <c r="Q54" i="1"/>
  <c r="O54" i="1"/>
  <c r="P41" i="1"/>
  <c r="P55" i="1"/>
  <c r="R55" i="1"/>
  <c r="U42" i="1"/>
  <c r="V55" i="1"/>
  <c r="T56" i="1"/>
  <c r="S43" i="1"/>
  <c r="O35" i="1"/>
  <c r="O36" i="1"/>
  <c r="O38" i="1"/>
  <c r="T39" i="1"/>
  <c r="T67" i="1" s="1"/>
  <c r="O41" i="1"/>
  <c r="Q43" i="1"/>
  <c r="H48" i="1"/>
  <c r="S50" i="1"/>
  <c r="J48" i="1"/>
  <c r="I35" i="1"/>
  <c r="N48" i="1"/>
  <c r="M35" i="1"/>
  <c r="M63" i="1" s="1"/>
  <c r="R48" i="1"/>
  <c r="Q35" i="1"/>
  <c r="U35" i="1"/>
  <c r="J36" i="1"/>
  <c r="K49" i="1"/>
  <c r="N36" i="1"/>
  <c r="O49" i="1"/>
  <c r="L50" i="1"/>
  <c r="P50" i="1"/>
  <c r="T50" i="1"/>
  <c r="I51" i="1"/>
  <c r="H51" i="1"/>
  <c r="M51" i="1"/>
  <c r="Q51" i="1"/>
  <c r="P38" i="1"/>
  <c r="T38" i="1"/>
  <c r="O52" i="1"/>
  <c r="N39" i="1"/>
  <c r="M52" i="1"/>
  <c r="R39" i="1"/>
  <c r="S52" i="1"/>
  <c r="Q40" i="1"/>
  <c r="R53" i="1"/>
  <c r="U40" i="1"/>
  <c r="Q41" i="1"/>
  <c r="R54" i="1"/>
  <c r="U41" i="1"/>
  <c r="R42" i="1"/>
  <c r="S55" i="1"/>
  <c r="T43" i="1"/>
  <c r="U56" i="1"/>
  <c r="H33" i="1"/>
  <c r="H34" i="1"/>
  <c r="H35" i="1"/>
  <c r="P35" i="1"/>
  <c r="H36" i="1"/>
  <c r="P36" i="1"/>
  <c r="H37" i="1"/>
  <c r="P37" i="1"/>
  <c r="H38" i="1"/>
  <c r="S38" i="1"/>
  <c r="T41" i="1"/>
  <c r="S49" i="1"/>
  <c r="P64" i="1" l="1"/>
  <c r="O64" i="1"/>
  <c r="I63" i="1"/>
  <c r="L63" i="1"/>
  <c r="P63" i="1"/>
  <c r="U69" i="1"/>
  <c r="P66" i="1"/>
  <c r="J64" i="1"/>
  <c r="M64" i="1"/>
  <c r="T68" i="1"/>
  <c r="R64" i="1"/>
  <c r="R65" i="1"/>
  <c r="H64" i="1"/>
  <c r="P65" i="1"/>
  <c r="J65" i="1"/>
  <c r="H65" i="1"/>
  <c r="O65" i="1"/>
  <c r="Q69" i="1"/>
  <c r="Q68" i="1"/>
  <c r="T70" i="1"/>
  <c r="N64" i="1"/>
  <c r="Q63" i="1"/>
  <c r="P69" i="1"/>
  <c r="P67" i="1"/>
  <c r="S68" i="1"/>
  <c r="S67" i="1"/>
  <c r="Q66" i="1"/>
  <c r="T69" i="1"/>
  <c r="H63" i="1"/>
  <c r="N67" i="1"/>
  <c r="R70" i="1"/>
  <c r="R67" i="1"/>
  <c r="T66" i="1"/>
  <c r="P68" i="1"/>
  <c r="N65" i="1"/>
  <c r="Q64" i="1"/>
  <c r="O67" i="1"/>
  <c r="O69" i="1"/>
  <c r="AG9" i="1"/>
  <c r="AG11" i="1" s="1"/>
  <c r="O63" i="1"/>
  <c r="R68" i="1"/>
  <c r="T64" i="1"/>
  <c r="M65" i="1"/>
  <c r="S64" i="1"/>
  <c r="R69" i="1"/>
  <c r="J63" i="1"/>
  <c r="V71" i="1"/>
  <c r="AN9" i="1"/>
  <c r="AN11" i="1" s="1"/>
  <c r="H66" i="1"/>
  <c r="Z9" i="1"/>
  <c r="Z11" i="1" s="1"/>
  <c r="U70" i="1"/>
  <c r="M67" i="1"/>
  <c r="AE9" i="1"/>
  <c r="AE11" i="1" s="1"/>
  <c r="L64" i="1"/>
  <c r="R71" i="1"/>
  <c r="AJ9" i="1"/>
  <c r="AJ11" i="1" s="1"/>
  <c r="S69" i="1"/>
  <c r="N66" i="1"/>
  <c r="K64" i="1"/>
  <c r="U71" i="1"/>
  <c r="AM9" i="1"/>
  <c r="AM11" i="1" s="1"/>
  <c r="S70" i="1"/>
  <c r="I66" i="1"/>
  <c r="AA9" i="1"/>
  <c r="AA11" i="1" s="1"/>
  <c r="AD11" i="1"/>
  <c r="T71" i="1"/>
  <c r="AL9" i="1"/>
  <c r="AL11" i="1" s="1"/>
  <c r="O66" i="1"/>
  <c r="S71" i="1"/>
  <c r="AK9" i="1"/>
  <c r="AK11" i="1" s="1"/>
  <c r="Q67" i="1"/>
  <c r="I34" i="1"/>
  <c r="I33" i="1"/>
  <c r="J5" i="1"/>
  <c r="AA19" i="1"/>
  <c r="T65" i="1"/>
  <c r="O68" i="1"/>
  <c r="Q65" i="1"/>
  <c r="I65" i="1"/>
  <c r="S63" i="1"/>
  <c r="N63" i="1"/>
  <c r="L66" i="1"/>
  <c r="M30" i="1"/>
  <c r="AD20" i="1"/>
  <c r="S66" i="1"/>
  <c r="H62" i="1"/>
  <c r="Z22" i="1"/>
  <c r="Q71" i="1"/>
  <c r="AI9" i="1"/>
  <c r="AI11" i="1" s="1"/>
  <c r="L65" i="1"/>
  <c r="P70" i="1"/>
  <c r="AH9" i="1"/>
  <c r="AH11" i="1" s="1"/>
  <c r="R66" i="1"/>
  <c r="J66" i="1"/>
  <c r="AB9" i="1"/>
  <c r="AB11" i="1" s="1"/>
  <c r="N68" i="1"/>
  <c r="AF9" i="1"/>
  <c r="AF11" i="1" s="1"/>
  <c r="K63" i="1"/>
  <c r="M66" i="1"/>
  <c r="H47" i="1"/>
  <c r="Z23" i="1" s="1"/>
  <c r="V42" i="1"/>
  <c r="V70" i="1" s="1"/>
  <c r="V12" i="1"/>
  <c r="M16" i="1"/>
  <c r="AD7" i="1"/>
  <c r="Z24" i="1" l="1"/>
  <c r="N30" i="1"/>
  <c r="AE20" i="1"/>
  <c r="I62" i="1"/>
  <c r="AA22" i="1"/>
  <c r="AA12" i="1"/>
  <c r="N16" i="1"/>
  <c r="AE7" i="1"/>
  <c r="J34" i="1"/>
  <c r="J33" i="1"/>
  <c r="AB19" i="1"/>
  <c r="K5" i="1"/>
  <c r="V41" i="1"/>
  <c r="V69" i="1" s="1"/>
  <c r="V11" i="1"/>
  <c r="V54" i="1"/>
  <c r="U54" i="1"/>
  <c r="U68" i="1" s="1"/>
  <c r="H61" i="1"/>
  <c r="AF7" i="1" l="1"/>
  <c r="O16" i="1"/>
  <c r="V40" i="1"/>
  <c r="V68" i="1" s="1"/>
  <c r="V10" i="1"/>
  <c r="U53" i="1"/>
  <c r="U67" i="1" s="1"/>
  <c r="V53" i="1"/>
  <c r="J62" i="1"/>
  <c r="AB22" i="1"/>
  <c r="AB12" i="1"/>
  <c r="AA13" i="1"/>
  <c r="AF20" i="1"/>
  <c r="O30" i="1"/>
  <c r="L5" i="1"/>
  <c r="K34" i="1"/>
  <c r="K33" i="1"/>
  <c r="AC19" i="1"/>
  <c r="I47" i="1"/>
  <c r="P30" i="1" l="1"/>
  <c r="AG20" i="1"/>
  <c r="V39" i="1"/>
  <c r="V67" i="1" s="1"/>
  <c r="V9" i="1"/>
  <c r="U52" i="1"/>
  <c r="U66" i="1" s="1"/>
  <c r="V52" i="1"/>
  <c r="AB13" i="1"/>
  <c r="AC12" i="1"/>
  <c r="K62" i="1"/>
  <c r="AC22" i="1"/>
  <c r="AA23" i="1"/>
  <c r="AA24" i="1" s="1"/>
  <c r="AA25" i="1" s="1"/>
  <c r="I61" i="1"/>
  <c r="M5" i="1"/>
  <c r="L34" i="1"/>
  <c r="L33" i="1"/>
  <c r="AD19" i="1"/>
  <c r="J47" i="1"/>
  <c r="AG7" i="1"/>
  <c r="P16" i="1"/>
  <c r="AA26" i="1" l="1"/>
  <c r="V38" i="1"/>
  <c r="V66" i="1" s="1"/>
  <c r="V8" i="1"/>
  <c r="U51" i="1"/>
  <c r="U65" i="1" s="1"/>
  <c r="V51" i="1"/>
  <c r="L62" i="1"/>
  <c r="AD22" i="1"/>
  <c r="AB23" i="1"/>
  <c r="AB24" i="1" s="1"/>
  <c r="AB25" i="1" s="1"/>
  <c r="J61" i="1"/>
  <c r="AC13" i="1"/>
  <c r="AD12" i="1"/>
  <c r="M34" i="1"/>
  <c r="M33" i="1"/>
  <c r="N5" i="1"/>
  <c r="AE19" i="1"/>
  <c r="K47" i="1"/>
  <c r="Q16" i="1"/>
  <c r="AH7" i="1"/>
  <c r="Q30" i="1"/>
  <c r="AH20" i="1"/>
  <c r="AB26" i="1" l="1"/>
  <c r="R16" i="1"/>
  <c r="AI7" i="1"/>
  <c r="V37" i="1"/>
  <c r="V65" i="1" s="1"/>
  <c r="V7" i="1"/>
  <c r="U50" i="1"/>
  <c r="U64" i="1" s="1"/>
  <c r="V50" i="1"/>
  <c r="N34" i="1"/>
  <c r="N33" i="1"/>
  <c r="AF19" i="1"/>
  <c r="O5" i="1"/>
  <c r="L47" i="1"/>
  <c r="R30" i="1"/>
  <c r="AI20" i="1"/>
  <c r="AC23" i="1"/>
  <c r="AC24" i="1" s="1"/>
  <c r="AC25" i="1" s="1"/>
  <c r="K61" i="1"/>
  <c r="M62" i="1"/>
  <c r="AE22" i="1"/>
  <c r="AE12" i="1"/>
  <c r="AD13" i="1"/>
  <c r="AC26" i="1" l="1"/>
  <c r="AF12" i="1"/>
  <c r="AE13" i="1"/>
  <c r="AD23" i="1"/>
  <c r="AD24" i="1" s="1"/>
  <c r="AD25" i="1" s="1"/>
  <c r="L61" i="1"/>
  <c r="N62" i="1"/>
  <c r="AF22" i="1"/>
  <c r="V36" i="1"/>
  <c r="V64" i="1" s="1"/>
  <c r="V6" i="1"/>
  <c r="U49" i="1"/>
  <c r="U63" i="1" s="1"/>
  <c r="V49" i="1"/>
  <c r="AJ7" i="1"/>
  <c r="S16" i="1"/>
  <c r="AJ20" i="1"/>
  <c r="S30" i="1"/>
  <c r="O34" i="1"/>
  <c r="O33" i="1"/>
  <c r="P5" i="1"/>
  <c r="AG19" i="1"/>
  <c r="M47" i="1"/>
  <c r="AD26" i="1" l="1"/>
  <c r="T30" i="1"/>
  <c r="AK20" i="1"/>
  <c r="O62" i="1"/>
  <c r="AG22" i="1"/>
  <c r="AF13" i="1"/>
  <c r="AG12" i="1"/>
  <c r="AE23" i="1"/>
  <c r="AE24" i="1" s="1"/>
  <c r="AE25" i="1" s="1"/>
  <c r="M61" i="1"/>
  <c r="AK7" i="1"/>
  <c r="T16" i="1"/>
  <c r="V35" i="1"/>
  <c r="V63" i="1" s="1"/>
  <c r="U48" i="1"/>
  <c r="V48" i="1"/>
  <c r="P34" i="1"/>
  <c r="P33" i="1"/>
  <c r="Q5" i="1"/>
  <c r="AH19" i="1"/>
  <c r="N47" i="1"/>
  <c r="AE26" i="1" l="1"/>
  <c r="P62" i="1"/>
  <c r="AH22" i="1"/>
  <c r="U16" i="1"/>
  <c r="AL7" i="1"/>
  <c r="AG13" i="1"/>
  <c r="AH12" i="1"/>
  <c r="AF23" i="1"/>
  <c r="AF24" i="1" s="1"/>
  <c r="AF25" i="1" s="1"/>
  <c r="N61" i="1"/>
  <c r="Q34" i="1"/>
  <c r="Q33" i="1"/>
  <c r="R5" i="1"/>
  <c r="AI19" i="1"/>
  <c r="O47" i="1"/>
  <c r="U30" i="1"/>
  <c r="AL20" i="1"/>
  <c r="AF26" i="1" l="1"/>
  <c r="AG23" i="1"/>
  <c r="AG24" i="1" s="1"/>
  <c r="AG25" i="1" s="1"/>
  <c r="O61" i="1"/>
  <c r="Q62" i="1"/>
  <c r="AI22" i="1"/>
  <c r="V16" i="1"/>
  <c r="AN7" i="1" s="1"/>
  <c r="AM7" i="1"/>
  <c r="R34" i="1"/>
  <c r="R33" i="1"/>
  <c r="AJ19" i="1"/>
  <c r="S5" i="1"/>
  <c r="P47" i="1"/>
  <c r="V30" i="1"/>
  <c r="AN20" i="1" s="1"/>
  <c r="AM20" i="1"/>
  <c r="AI12" i="1"/>
  <c r="AH13" i="1"/>
  <c r="AG26" i="1" l="1"/>
  <c r="AH23" i="1"/>
  <c r="AH24" i="1" s="1"/>
  <c r="AH25" i="1" s="1"/>
  <c r="P61" i="1"/>
  <c r="R62" i="1"/>
  <c r="AJ22" i="1"/>
  <c r="AJ12" i="1"/>
  <c r="AI13" i="1"/>
  <c r="T5" i="1"/>
  <c r="S34" i="1"/>
  <c r="S33" i="1"/>
  <c r="AK19" i="1"/>
  <c r="Q47" i="1"/>
  <c r="AH26" i="1" l="1"/>
  <c r="AI23" i="1"/>
  <c r="AI24" i="1" s="1"/>
  <c r="AI25" i="1" s="1"/>
  <c r="Q61" i="1"/>
  <c r="U5" i="1"/>
  <c r="T34" i="1"/>
  <c r="T33" i="1"/>
  <c r="AL19" i="1"/>
  <c r="R47" i="1"/>
  <c r="S62" i="1"/>
  <c r="AK22" i="1"/>
  <c r="AJ13" i="1"/>
  <c r="AK12" i="1"/>
  <c r="AI26" i="1" l="1"/>
  <c r="AJ23" i="1"/>
  <c r="AJ24" i="1" s="1"/>
  <c r="AJ25" i="1" s="1"/>
  <c r="R61" i="1"/>
  <c r="U34" i="1"/>
  <c r="U33" i="1"/>
  <c r="V5" i="1"/>
  <c r="AM19" i="1"/>
  <c r="S47" i="1"/>
  <c r="AK13" i="1"/>
  <c r="AL12" i="1"/>
  <c r="T62" i="1"/>
  <c r="AL22" i="1"/>
  <c r="AJ26" i="1" l="1"/>
  <c r="V47" i="1"/>
  <c r="AN23" i="1" s="1"/>
  <c r="V34" i="1"/>
  <c r="V33" i="1"/>
  <c r="AN19" i="1"/>
  <c r="T47" i="1"/>
  <c r="AM12" i="1"/>
  <c r="AL13" i="1"/>
  <c r="AK23" i="1"/>
  <c r="AK24" i="1" s="1"/>
  <c r="AK25" i="1" s="1"/>
  <c r="S61" i="1"/>
  <c r="U62" i="1"/>
  <c r="AM22" i="1"/>
  <c r="U47" i="1"/>
  <c r="AM23" i="1" s="1"/>
  <c r="AK26" i="1" l="1"/>
  <c r="V62" i="1"/>
  <c r="AN22" i="1"/>
  <c r="AN24" i="1" s="1"/>
  <c r="U61" i="1"/>
  <c r="AL23" i="1"/>
  <c r="AL24" i="1" s="1"/>
  <c r="AL25" i="1" s="1"/>
  <c r="T61" i="1"/>
  <c r="AM24" i="1"/>
  <c r="AN12" i="1"/>
  <c r="AN13" i="1" s="1"/>
  <c r="AM13" i="1"/>
  <c r="V61" i="1"/>
  <c r="AM25" i="1" l="1"/>
  <c r="AL26" i="1"/>
  <c r="AN25" i="1" l="1"/>
  <c r="AN26" i="1" s="1"/>
  <c r="AM26" i="1"/>
</calcChain>
</file>

<file path=xl/sharedStrings.xml><?xml version="1.0" encoding="utf-8"?>
<sst xmlns="http://schemas.openxmlformats.org/spreadsheetml/2006/main" count="32" uniqueCount="20">
  <si>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</si>
  <si>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</si>
  <si>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</si>
  <si>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</si>
  <si>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</si>
  <si>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</si>
  <si>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</si>
  <si>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</si>
  <si>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</si>
  <si>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</si>
  <si>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</si>
  <si>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</si>
  <si>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</si>
  <si>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</si>
  <si>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</si>
  <si>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</si>
  <si>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</si>
  <si>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Верхняя граница</t>
  </si>
  <si>
    <t>Нижняя граница</t>
  </si>
  <si>
    <t>magn. (velocity)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</si>
</sst>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6">
    <xf numFmtId="0" fontId="0" fillId="0" borderId="0" xfId="0"/>
    <xf numFmtId="43" fontId="0" fillId="0" borderId="0" xfId="1" applyFont="1"/>
    <xf numFmtId="0" fontId="0" fillId="0" borderId="1" xfId="0" applyBorder="1"/>
    <xf numFmtId="0" fontId="0" fillId="2" borderId="0" xfId="0" applyFill="1"/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2" fontId="0" fillId="4" borderId="2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1" fontId="0" fillId="0" borderId="1" xfId="0" applyNumberFormat="1" applyBorder="1"/>
    <xf numFmtId="2" fontId="0" fillId="5" borderId="1" xfId="1" applyNumberFormat="1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4" borderId="3" xfId="1" applyNumberFormat="1" applyFont="1" applyFill="1" applyBorder="1" applyAlignment="1">
      <alignment horizontal="center"/>
    </xf>
    <xf numFmtId="2" fontId="0" fillId="6" borderId="2" xfId="1" applyNumberFormat="1" applyFont="1" applyFill="1" applyBorder="1" applyAlignment="1">
      <alignment horizontal="center"/>
    </xf>
    <xf numFmtId="2" fontId="0" fillId="6" borderId="1" xfId="1" applyNumberFormat="1" applyFont="1" applyFill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6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6" borderId="4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/>
    <xf numFmtId="0" fontId="0" fillId="0" borderId="1" xfId="0" applyBorder="1" applyAlignment="1">
      <alignment horizontal="center"/>
    </xf>
    <xf numFmtId="0" fontId="2" fillId="4" borderId="0" xfId="0" applyFont="1" applyFill="1"/>
    <xf numFmtId="2" fontId="0" fillId="3" borderId="0" xfId="1" applyNumberFormat="1" applyFont="1" applyFill="1" applyBorder="1" applyAlignment="1">
      <alignment horizontal="center"/>
    </xf>
    <xf numFmtId="2" fontId="0" fillId="4" borderId="7" xfId="1" applyNumberFormat="1" applyFont="1" applyFill="1" applyBorder="1" applyAlignment="1">
      <alignment horizontal="center"/>
    </xf>
    <xf numFmtId="2" fontId="0" fillId="4" borderId="8" xfId="1" applyNumberFormat="1" applyFont="1" applyFill="1" applyBorder="1" applyAlignment="1">
      <alignment horizontal="center"/>
    </xf>
    <xf numFmtId="1" fontId="0" fillId="3" borderId="0" xfId="1" applyNumberFormat="1" applyFont="1" applyFill="1" applyBorder="1" applyAlignment="1">
      <alignment horizontal="center"/>
    </xf>
    <xf numFmtId="2" fontId="0" fillId="4" borderId="9" xfId="1" applyNumberFormat="1" applyFont="1" applyFill="1" applyBorder="1" applyAlignment="1">
      <alignment horizontal="center"/>
    </xf>
    <xf numFmtId="2" fontId="0" fillId="4" borderId="6" xfId="1" applyNumberFormat="1" applyFont="1" applyFill="1" applyBorder="1" applyAlignment="1">
      <alignment horizontal="center"/>
    </xf>
    <xf numFmtId="2" fontId="0" fillId="4" borderId="10" xfId="1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/>
    <xf numFmtId="0" fontId="0" fillId="0" borderId="0" xfId="0" applyFill="1"/>
    <xf numFmtId="2" fontId="0" fillId="6" borderId="5" xfId="1" applyNumberFormat="1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0" fillId="7" borderId="0" xfId="0" applyFill="1"/>
    <xf numFmtId="0" fontId="0" fillId="8" borderId="0" xfId="0" applyFill="1"/>
    <xf numFmtId="1" fontId="0" fillId="0" borderId="1" xfId="0" applyNumberFormat="1" applyFill="1" applyBorder="1"/>
    <xf numFmtId="0" fontId="0" fillId="4" borderId="0" xfId="0" applyFill="1" applyAlignment="1">
      <alignment wrapText="1"/>
    </xf>
    <xf numFmtId="2" fontId="0" fillId="0" borderId="0" xfId="1" applyNumberFormat="1" applyFont="1" applyFill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-3.4922618582204447E-2</c:v>
                </c:pt>
                <c:pt idx="2">
                  <c:v>-8.9186860332556531E-2</c:v>
                </c:pt>
                <c:pt idx="3">
                  <c:v>-0.20011925879254705</c:v>
                </c:pt>
                <c:pt idx="4">
                  <c:v>-0.58571108666510552</c:v>
                </c:pt>
                <c:pt idx="5">
                  <c:v>0.31602144177188163</c:v>
                </c:pt>
                <c:pt idx="6">
                  <c:v>0.59595034115103773</c:v>
                </c:pt>
                <c:pt idx="7">
                  <c:v>0.74660195147705966</c:v>
                </c:pt>
                <c:pt idx="8">
                  <c:v>0.8565204057417577</c:v>
                </c:pt>
                <c:pt idx="9">
                  <c:v>0.95327538045705296</c:v>
                </c:pt>
                <c:pt idx="10">
                  <c:v>0.89433201135136187</c:v>
                </c:pt>
                <c:pt idx="11">
                  <c:v>0.84774662301992065</c:v>
                </c:pt>
                <c:pt idx="12">
                  <c:v>0.81086852544336585</c:v>
                </c:pt>
                <c:pt idx="13">
                  <c:v>0.77951611624215733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42-459E-8F53-B3DA2BE9979D}"/>
            </c:ext>
          </c:extLst>
        </c:ser>
        <c:ser>
          <c:idx val="2"/>
          <c:order val="1"/>
          <c:tx>
            <c:v>верхняя стенка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2.3504772709275132E-2</c:v>
                </c:pt>
                <c:pt idx="2">
                  <c:v>5.4455000592570288E-2</c:v>
                </c:pt>
                <c:pt idx="3">
                  <c:v>0.10121995540161151</c:v>
                </c:pt>
                <c:pt idx="4">
                  <c:v>0.17157125183788594</c:v>
                </c:pt>
                <c:pt idx="5">
                  <c:v>0.26581856800592507</c:v>
                </c:pt>
                <c:pt idx="6">
                  <c:v>0.36387566237593999</c:v>
                </c:pt>
                <c:pt idx="7">
                  <c:v>0.45203124680730977</c:v>
                </c:pt>
                <c:pt idx="8">
                  <c:v>0.52547970264684407</c:v>
                </c:pt>
                <c:pt idx="9">
                  <c:v>0.58453951353993039</c:v>
                </c:pt>
                <c:pt idx="10">
                  <c:v>0.63148756750335455</c:v>
                </c:pt>
                <c:pt idx="11">
                  <c:v>0.66910280161304403</c:v>
                </c:pt>
                <c:pt idx="12">
                  <c:v>0.6999564278064645</c:v>
                </c:pt>
                <c:pt idx="13">
                  <c:v>0.72629945057182344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42-459E-8F53-B3DA2BE99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36672"/>
        <c:axId val="65472000"/>
      </c:lineChart>
      <c:catAx>
        <c:axId val="6543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5472000"/>
        <c:crosses val="autoZero"/>
        <c:auto val="1"/>
        <c:lblAlgn val="ctr"/>
        <c:lblOffset val="100"/>
        <c:tickMarkSkip val="1"/>
        <c:noMultiLvlLbl val="0"/>
      </c:catAx>
      <c:valAx>
        <c:axId val="6547200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543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436099</xdr:colOff>
      <xdr:row>31</xdr:row>
      <xdr:rowOff>47542</xdr:rowOff>
    </xdr:from>
    <xdr:to>
      <xdr:col>36</xdr:col>
      <xdr:colOff>429649</xdr:colOff>
      <xdr:row>58</xdr:row>
      <xdr:rowOff>10372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801D3E9-F6DE-495C-8E8C-39660761C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Cp</a:t>
          </a:r>
          <a:endParaRPr lang="ru-RU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0.89892</cdr:x>
      <cdr:y>0.49039</cdr:y>
    </cdr:from>
    <cdr:to>
      <cdr:x>1</cdr:x>
      <cdr:y>0.59621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933325" y="2179873"/>
          <a:ext cx="667214" cy="470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X, </a:t>
          </a:r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D8BF-AE42-49EC-8C86-31EE6AD4FFF7}">
  <sheetPr codeName="Лист1"/>
  <dimension ref="A1:AN72"/>
  <sheetViews>
    <sheetView tabSelected="1" topLeftCell="A4" zoomScale="70" zoomScaleNormal="70" workbookViewId="0">
      <selection activeCell="H19" sqref="H19:V29"/>
    </sheetView>
  </sheetViews>
  <sheetFormatPr defaultRowHeight="15" x14ac:dyDescent="0.25"/>
  <cols>
    <col min="1" max="1" width="13.28515625" customWidth="1"/>
  </cols>
  <sheetData>
    <row r="1" spans="1:40" x14ac:dyDescent="0.25"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40" x14ac:dyDescent="0.25">
      <c r="A2" s="25" t="s">
        <v>0</v>
      </c>
      <c r="B2" s="2">
        <v>0.2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40" x14ac:dyDescent="0.25">
      <c r="A3" s="3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40" x14ac:dyDescent="0.25">
      <c r="A4" s="25" t="s">
        <v>1</v>
      </c>
      <c r="B4" s="2">
        <v>10</v>
      </c>
      <c r="G4" s="4"/>
      <c r="H4" s="32">
        <v>1</v>
      </c>
      <c r="I4" s="32">
        <v>2</v>
      </c>
      <c r="J4" s="32">
        <v>3</v>
      </c>
      <c r="K4" s="32">
        <v>4</v>
      </c>
      <c r="L4" s="32">
        <v>5</v>
      </c>
      <c r="M4" s="32">
        <v>6</v>
      </c>
      <c r="N4" s="32">
        <v>7</v>
      </c>
      <c r="O4" s="32">
        <v>8</v>
      </c>
      <c r="P4" s="32">
        <v>9</v>
      </c>
      <c r="Q4" s="32">
        <v>10</v>
      </c>
      <c r="R4" s="32">
        <v>11</v>
      </c>
      <c r="S4" s="32">
        <v>12</v>
      </c>
      <c r="T4" s="32">
        <v>13</v>
      </c>
      <c r="U4" s="32">
        <v>14</v>
      </c>
      <c r="V4" s="32">
        <v>15</v>
      </c>
      <c r="W4" s="5"/>
      <c r="Y4" s="41" t="s">
        <v>17</v>
      </c>
      <c r="Z4" s="41"/>
    </row>
    <row r="5" spans="1:40" x14ac:dyDescent="0.25">
      <c r="A5" s="25" t="s">
        <v>2</v>
      </c>
      <c r="B5" s="2">
        <v>101325</v>
      </c>
      <c r="F5" s="28" t="s">
        <v>3</v>
      </c>
      <c r="G5" s="29">
        <f t="shared" ref="G5:G13" si="0">G6+B$2</f>
        <v>1.9999999999999998</v>
      </c>
      <c r="H5" s="30">
        <f t="shared" ref="H5:H8" si="1">H6+$B$4*$B$2</f>
        <v>10</v>
      </c>
      <c r="I5" s="31">
        <f>H5</f>
        <v>10</v>
      </c>
      <c r="J5" s="31">
        <f t="shared" ref="J5:V5" si="2">I5</f>
        <v>10</v>
      </c>
      <c r="K5" s="31">
        <f t="shared" si="2"/>
        <v>10</v>
      </c>
      <c r="L5" s="31">
        <f t="shared" si="2"/>
        <v>10</v>
      </c>
      <c r="M5" s="31">
        <f t="shared" si="2"/>
        <v>10</v>
      </c>
      <c r="N5" s="31">
        <f t="shared" si="2"/>
        <v>10</v>
      </c>
      <c r="O5" s="31">
        <f t="shared" si="2"/>
        <v>10</v>
      </c>
      <c r="P5" s="31">
        <f t="shared" si="2"/>
        <v>10</v>
      </c>
      <c r="Q5" s="31">
        <f t="shared" si="2"/>
        <v>10</v>
      </c>
      <c r="R5" s="31">
        <f t="shared" si="2"/>
        <v>10</v>
      </c>
      <c r="S5" s="31">
        <f t="shared" si="2"/>
        <v>10</v>
      </c>
      <c r="T5" s="31">
        <f t="shared" si="2"/>
        <v>10</v>
      </c>
      <c r="U5" s="31">
        <f t="shared" si="2"/>
        <v>10</v>
      </c>
      <c r="V5" s="33">
        <f t="shared" si="2"/>
        <v>10</v>
      </c>
      <c r="W5" s="36">
        <v>11</v>
      </c>
      <c r="Y5" s="43">
        <v>0</v>
      </c>
      <c r="Z5" s="8">
        <v>1</v>
      </c>
      <c r="AA5" s="8">
        <v>2</v>
      </c>
      <c r="AB5" s="8">
        <v>3</v>
      </c>
      <c r="AC5" s="8">
        <v>4</v>
      </c>
      <c r="AD5" s="8">
        <v>5</v>
      </c>
      <c r="AE5" s="8">
        <v>6</v>
      </c>
      <c r="AF5" s="8">
        <v>7</v>
      </c>
      <c r="AG5" s="8">
        <v>8</v>
      </c>
      <c r="AH5" s="8">
        <v>9</v>
      </c>
      <c r="AI5" s="8">
        <v>10</v>
      </c>
      <c r="AJ5" s="8">
        <v>11</v>
      </c>
      <c r="AK5" s="8">
        <v>12</v>
      </c>
      <c r="AL5" s="8">
        <v>13</v>
      </c>
      <c r="AM5" s="8">
        <v>14</v>
      </c>
      <c r="AN5" s="8">
        <v>15</v>
      </c>
    </row>
    <row r="6" spans="1:40" x14ac:dyDescent="0.25">
      <c r="A6" s="25" t="s">
        <v>4</v>
      </c>
      <c r="B6" s="2">
        <f>((G5-G10)*B4)/(G5-G15)</f>
        <v>5</v>
      </c>
      <c r="G6" s="29">
        <f t="shared" si="0"/>
        <v>1.7999999999999998</v>
      </c>
      <c r="H6" s="6">
        <f t="shared" si="1"/>
        <v>8</v>
      </c>
      <c r="I6" s="9">
        <f>0.25*(I19+J20+I21+H20)</f>
        <v>8.0276040197830234</v>
      </c>
      <c r="J6" s="9">
        <f t="shared" ref="J6:U6" si="3">0.25*(J19+K20+J21+I20)</f>
        <v>8.0632939509899888</v>
      </c>
      <c r="K6" s="9">
        <f t="shared" si="3"/>
        <v>8.1154795627205161</v>
      </c>
      <c r="L6" s="9">
        <f t="shared" si="3"/>
        <v>8.1913685134326819</v>
      </c>
      <c r="M6" s="9">
        <f t="shared" si="3"/>
        <v>8.2915522268248427</v>
      </c>
      <c r="N6" s="9">
        <f t="shared" si="3"/>
        <v>8.4034145729628733</v>
      </c>
      <c r="O6" s="9">
        <f t="shared" si="3"/>
        <v>8.5138919444881722</v>
      </c>
      <c r="P6" s="9">
        <f t="shared" si="3"/>
        <v>8.6150020581809965</v>
      </c>
      <c r="Q6" s="9">
        <f t="shared" si="3"/>
        <v>8.703521466686496</v>
      </c>
      <c r="R6" s="9">
        <f t="shared" si="3"/>
        <v>8.7794579790226841</v>
      </c>
      <c r="S6" s="9">
        <f t="shared" si="3"/>
        <v>8.8444581995302372</v>
      </c>
      <c r="T6" s="9">
        <f t="shared" si="3"/>
        <v>8.901034026421172</v>
      </c>
      <c r="U6" s="9">
        <f t="shared" si="3"/>
        <v>8.9519301375714679</v>
      </c>
      <c r="V6" s="34">
        <f t="shared" ref="V6:V13" si="4">V7+$B$6*$B$2</f>
        <v>9</v>
      </c>
      <c r="W6" s="36">
        <v>10</v>
      </c>
      <c r="Y6" s="40" t="s">
        <v>3</v>
      </c>
      <c r="Z6" s="10">
        <f>H10</f>
        <v>0</v>
      </c>
      <c r="AA6" s="10">
        <f t="shared" ref="AA6:AD6" si="5">I10</f>
        <v>0</v>
      </c>
      <c r="AB6" s="10">
        <f t="shared" si="5"/>
        <v>0</v>
      </c>
      <c r="AC6" s="10">
        <f t="shared" si="5"/>
        <v>0</v>
      </c>
      <c r="AD6" s="10">
        <f t="shared" si="5"/>
        <v>0</v>
      </c>
      <c r="AE6" s="10">
        <f>M11</f>
        <v>0</v>
      </c>
      <c r="AF6" s="10">
        <f>N12</f>
        <v>0</v>
      </c>
      <c r="AG6" s="10">
        <f>O13</f>
        <v>0</v>
      </c>
      <c r="AH6" s="10">
        <f>P14</f>
        <v>0</v>
      </c>
      <c r="AI6" s="10">
        <f>Q15</f>
        <v>0</v>
      </c>
      <c r="AJ6" s="10">
        <f t="shared" ref="AJ6:AN6" si="6">R15</f>
        <v>0</v>
      </c>
      <c r="AK6" s="10">
        <f t="shared" si="6"/>
        <v>0</v>
      </c>
      <c r="AL6" s="10">
        <f t="shared" si="6"/>
        <v>0</v>
      </c>
      <c r="AM6" s="10">
        <f t="shared" si="6"/>
        <v>0</v>
      </c>
      <c r="AN6" s="10">
        <f t="shared" si="6"/>
        <v>0</v>
      </c>
    </row>
    <row r="7" spans="1:40" x14ac:dyDescent="0.25">
      <c r="A7" s="3"/>
      <c r="G7" s="29">
        <f t="shared" si="0"/>
        <v>1.5999999999999999</v>
      </c>
      <c r="H7" s="6">
        <f t="shared" si="1"/>
        <v>6</v>
      </c>
      <c r="I7" s="9">
        <f t="shared" ref="I7:U14" si="7">0.25*(I20+J21+I22+H21)</f>
        <v>6.0472890775251535</v>
      </c>
      <c r="J7" s="9">
        <f t="shared" si="7"/>
        <v>6.1104344727825328</v>
      </c>
      <c r="K7" s="9">
        <f t="shared" si="7"/>
        <v>6.2078395717517214</v>
      </c>
      <c r="L7" s="9">
        <f t="shared" si="7"/>
        <v>6.35927754826126</v>
      </c>
      <c r="M7" s="9">
        <f t="shared" si="7"/>
        <v>6.5726244863006018</v>
      </c>
      <c r="N7" s="9">
        <f t="shared" si="7"/>
        <v>6.8097038692332292</v>
      </c>
      <c r="O7" s="9">
        <f t="shared" si="7"/>
        <v>7.0390035374753337</v>
      </c>
      <c r="P7" s="9">
        <f t="shared" si="7"/>
        <v>7.2445826527277548</v>
      </c>
      <c r="Q7" s="9">
        <f t="shared" si="7"/>
        <v>7.4217510237833775</v>
      </c>
      <c r="R7" s="9">
        <f t="shared" si="7"/>
        <v>7.5717910057104731</v>
      </c>
      <c r="S7" s="9">
        <f t="shared" si="7"/>
        <v>7.6990534177881917</v>
      </c>
      <c r="T7" s="9">
        <f t="shared" si="7"/>
        <v>7.8089506726010613</v>
      </c>
      <c r="U7" s="9">
        <f t="shared" si="7"/>
        <v>7.9073440820690006</v>
      </c>
      <c r="V7" s="34">
        <f t="shared" si="4"/>
        <v>8</v>
      </c>
      <c r="W7" s="36">
        <v>9</v>
      </c>
      <c r="Y7" s="10" t="s">
        <v>5</v>
      </c>
      <c r="Z7" s="10">
        <f>H16</f>
        <v>0</v>
      </c>
      <c r="AA7" s="10">
        <f t="shared" ref="AA7:AN7" si="8">I16</f>
        <v>0.2</v>
      </c>
      <c r="AB7" s="10">
        <f t="shared" si="8"/>
        <v>0.4</v>
      </c>
      <c r="AC7" s="10">
        <f t="shared" si="8"/>
        <v>0.60000000000000009</v>
      </c>
      <c r="AD7" s="10">
        <f t="shared" si="8"/>
        <v>0.8</v>
      </c>
      <c r="AE7" s="10">
        <f t="shared" si="8"/>
        <v>1</v>
      </c>
      <c r="AF7" s="10">
        <f t="shared" si="8"/>
        <v>1.2</v>
      </c>
      <c r="AG7" s="10">
        <f t="shared" si="8"/>
        <v>1.4</v>
      </c>
      <c r="AH7" s="10">
        <f t="shared" si="8"/>
        <v>1.5999999999999999</v>
      </c>
      <c r="AI7" s="10">
        <f t="shared" si="8"/>
        <v>1.7999999999999998</v>
      </c>
      <c r="AJ7" s="10">
        <f t="shared" si="8"/>
        <v>1.9999999999999998</v>
      </c>
      <c r="AK7" s="10">
        <f t="shared" si="8"/>
        <v>2.1999999999999997</v>
      </c>
      <c r="AL7" s="10">
        <f t="shared" si="8"/>
        <v>2.4</v>
      </c>
      <c r="AM7" s="10">
        <f t="shared" si="8"/>
        <v>2.6</v>
      </c>
      <c r="AN7" s="10">
        <f t="shared" si="8"/>
        <v>2.8000000000000003</v>
      </c>
    </row>
    <row r="8" spans="1:40" x14ac:dyDescent="0.25">
      <c r="A8" s="25" t="s">
        <v>6</v>
      </c>
      <c r="B8" s="2">
        <v>100</v>
      </c>
      <c r="C8">
        <v>100</v>
      </c>
      <c r="G8" s="29">
        <f t="shared" si="0"/>
        <v>1.4</v>
      </c>
      <c r="H8" s="6">
        <f t="shared" si="1"/>
        <v>4</v>
      </c>
      <c r="I8" s="9">
        <f t="shared" si="7"/>
        <v>4.0513834861196427</v>
      </c>
      <c r="J8" s="9">
        <f t="shared" si="7"/>
        <v>4.1239055892205947</v>
      </c>
      <c r="K8" s="9">
        <f t="shared" si="7"/>
        <v>4.2471152558600247</v>
      </c>
      <c r="L8" s="9">
        <f t="shared" si="7"/>
        <v>4.4667687019175517</v>
      </c>
      <c r="M8" s="9">
        <f t="shared" si="7"/>
        <v>4.8320055547563125</v>
      </c>
      <c r="N8" s="9">
        <f t="shared" si="7"/>
        <v>5.2265614213343028</v>
      </c>
      <c r="O8" s="9">
        <f t="shared" si="7"/>
        <v>5.5911068170050839</v>
      </c>
      <c r="P8" s="9">
        <f t="shared" si="7"/>
        <v>5.9063896968270626</v>
      </c>
      <c r="Q8" s="9">
        <f t="shared" si="7"/>
        <v>6.1709260205822725</v>
      </c>
      <c r="R8" s="9">
        <f t="shared" si="7"/>
        <v>6.390665622758295</v>
      </c>
      <c r="S8" s="9">
        <f t="shared" si="7"/>
        <v>6.5741130661241316</v>
      </c>
      <c r="T8" s="9">
        <f t="shared" si="7"/>
        <v>6.7307179284216172</v>
      </c>
      <c r="U8" s="9">
        <f t="shared" si="7"/>
        <v>6.8696889221451549</v>
      </c>
      <c r="V8" s="34">
        <f t="shared" si="4"/>
        <v>7</v>
      </c>
      <c r="W8" s="36">
        <v>8</v>
      </c>
      <c r="Y8" s="10" t="s">
        <v>7</v>
      </c>
      <c r="Z8" s="10">
        <f>$G10</f>
        <v>1</v>
      </c>
      <c r="AA8" s="10">
        <f t="shared" ref="AA8:AD8" si="9">$G10</f>
        <v>1</v>
      </c>
      <c r="AB8" s="10">
        <f t="shared" si="9"/>
        <v>1</v>
      </c>
      <c r="AC8" s="10">
        <f t="shared" si="9"/>
        <v>1</v>
      </c>
      <c r="AD8" s="10">
        <f t="shared" si="9"/>
        <v>1</v>
      </c>
      <c r="AE8" s="10">
        <f>G11</f>
        <v>0.8</v>
      </c>
      <c r="AF8" s="10">
        <f>G12</f>
        <v>0.60000000000000009</v>
      </c>
      <c r="AG8" s="10">
        <f>G13</f>
        <v>0.4</v>
      </c>
      <c r="AH8" s="10">
        <f>G14</f>
        <v>0.2</v>
      </c>
      <c r="AI8" s="10">
        <f>$G15</f>
        <v>0</v>
      </c>
      <c r="AJ8" s="10">
        <f t="shared" ref="AJ8:AN8" si="10">$G15</f>
        <v>0</v>
      </c>
      <c r="AK8" s="10">
        <f t="shared" si="10"/>
        <v>0</v>
      </c>
      <c r="AL8" s="10">
        <f t="shared" si="10"/>
        <v>0</v>
      </c>
      <c r="AM8" s="10">
        <f t="shared" si="10"/>
        <v>0</v>
      </c>
      <c r="AN8" s="10">
        <f t="shared" si="10"/>
        <v>0</v>
      </c>
    </row>
    <row r="9" spans="1:40" x14ac:dyDescent="0.25">
      <c r="A9" s="3"/>
      <c r="G9" s="29">
        <f t="shared" si="0"/>
        <v>1.2</v>
      </c>
      <c r="H9" s="6">
        <f>H10+$B$4*$B$2</f>
        <v>2</v>
      </c>
      <c r="I9" s="9">
        <f t="shared" si="7"/>
        <v>2.0346229317318949</v>
      </c>
      <c r="J9" s="9">
        <f t="shared" si="7"/>
        <v>2.0872823099259752</v>
      </c>
      <c r="K9" s="9">
        <f t="shared" si="7"/>
        <v>2.1909990952007137</v>
      </c>
      <c r="L9" s="9">
        <f t="shared" si="7"/>
        <v>2.4302823649679501</v>
      </c>
      <c r="M9" s="9">
        <f t="shared" si="7"/>
        <v>3.0645901256059607</v>
      </c>
      <c r="N9" s="9">
        <f t="shared" si="7"/>
        <v>3.6767860154904231</v>
      </c>
      <c r="O9" s="9">
        <f t="shared" si="7"/>
        <v>4.1968396883287804</v>
      </c>
      <c r="P9" s="9">
        <f t="shared" si="7"/>
        <v>4.623770047631627</v>
      </c>
      <c r="Q9" s="9">
        <f t="shared" si="7"/>
        <v>4.9701588043925327</v>
      </c>
      <c r="R9" s="9">
        <f t="shared" si="7"/>
        <v>5.25069330940231</v>
      </c>
      <c r="S9" s="9">
        <f t="shared" si="7"/>
        <v>5.4803448212461969</v>
      </c>
      <c r="T9" s="9">
        <f t="shared" si="7"/>
        <v>5.6731756254110612</v>
      </c>
      <c r="U9" s="9">
        <f t="shared" si="7"/>
        <v>5.8423692061169739</v>
      </c>
      <c r="V9" s="34">
        <f t="shared" si="4"/>
        <v>6</v>
      </c>
      <c r="W9" s="36">
        <v>7</v>
      </c>
      <c r="Y9" s="10" t="s">
        <v>8</v>
      </c>
      <c r="Z9" s="10">
        <f>H38</f>
        <v>10</v>
      </c>
      <c r="AA9" s="10">
        <f>I38</f>
        <v>10.173114658659474</v>
      </c>
      <c r="AB9" s="10">
        <f t="shared" ref="AB9:AD9" si="11">J38</f>
        <v>10.436411549629875</v>
      </c>
      <c r="AC9" s="10">
        <f t="shared" si="11"/>
        <v>10.954995476003567</v>
      </c>
      <c r="AD9" s="10">
        <f t="shared" si="11"/>
        <v>12.15141182483975</v>
      </c>
      <c r="AE9" s="10">
        <f>M39</f>
        <v>6.6073593302220717</v>
      </c>
      <c r="AF9" s="10">
        <f>N40</f>
        <v>4.973998241269399</v>
      </c>
      <c r="AG9" s="10">
        <f>O41</f>
        <v>3.9578159862172968</v>
      </c>
      <c r="AH9" s="10">
        <f>P42</f>
        <v>3.110546169329294</v>
      </c>
      <c r="AI9" s="10">
        <f t="shared" ref="AI9:AM9" si="12">Q43</f>
        <v>2.1615878317338133</v>
      </c>
      <c r="AJ9" s="10">
        <f t="shared" si="12"/>
        <v>3.2506612965464612</v>
      </c>
      <c r="AK9" s="10">
        <f t="shared" si="12"/>
        <v>3.9019658760691942</v>
      </c>
      <c r="AL9" s="10">
        <f t="shared" si="12"/>
        <v>4.3489248620398655</v>
      </c>
      <c r="AM9" s="10">
        <f t="shared" si="12"/>
        <v>4.6955711447899686</v>
      </c>
      <c r="AN9" s="10">
        <f>V43</f>
        <v>5</v>
      </c>
    </row>
    <row r="10" spans="1:40" x14ac:dyDescent="0.25">
      <c r="A10" s="25" t="s">
        <v>9</v>
      </c>
      <c r="B10" s="27">
        <v>15</v>
      </c>
      <c r="G10" s="29">
        <f t="shared" si="0"/>
        <v>1</v>
      </c>
      <c r="H10" s="6">
        <v>0</v>
      </c>
      <c r="I10" s="7">
        <v>0</v>
      </c>
      <c r="J10" s="7">
        <v>0</v>
      </c>
      <c r="K10" s="7">
        <v>0</v>
      </c>
      <c r="L10" s="7">
        <v>0</v>
      </c>
      <c r="M10" s="9">
        <f t="shared" si="7"/>
        <v>1.3214718660444145</v>
      </c>
      <c r="N10" s="9">
        <f t="shared" si="7"/>
        <v>2.2226326354003909</v>
      </c>
      <c r="O10" s="9">
        <f t="shared" si="7"/>
        <v>2.9001524661023579</v>
      </c>
      <c r="P10" s="9">
        <f t="shared" si="7"/>
        <v>3.4271722439290224</v>
      </c>
      <c r="Q10" s="9">
        <f t="shared" si="7"/>
        <v>3.8409117821375673</v>
      </c>
      <c r="R10" s="9">
        <f t="shared" si="7"/>
        <v>4.1673096622495169</v>
      </c>
      <c r="S10" s="9">
        <f t="shared" si="7"/>
        <v>4.4281581867049757</v>
      </c>
      <c r="T10" s="9">
        <f t="shared" si="7"/>
        <v>4.6429048695050721</v>
      </c>
      <c r="U10" s="9">
        <f t="shared" si="7"/>
        <v>4.8284685469196358</v>
      </c>
      <c r="V10" s="34">
        <f t="shared" si="4"/>
        <v>5</v>
      </c>
      <c r="W10" s="36">
        <v>6</v>
      </c>
      <c r="Y10" s="10" t="s">
        <v>10</v>
      </c>
      <c r="Z10" s="10">
        <f>H52</f>
        <v>0</v>
      </c>
      <c r="AA10" s="10">
        <f t="shared" ref="AA10:AD10" si="13">I52</f>
        <v>0</v>
      </c>
      <c r="AB10" s="10">
        <f t="shared" si="13"/>
        <v>0</v>
      </c>
      <c r="AC10" s="10">
        <f t="shared" si="13"/>
        <v>0</v>
      </c>
      <c r="AD10" s="10">
        <f t="shared" si="13"/>
        <v>-3.3036796651110358</v>
      </c>
      <c r="AE10" s="10">
        <f>M53</f>
        <v>-4.973998241269399</v>
      </c>
      <c r="AF10" s="10">
        <f>N54</f>
        <v>-3.9578159862172968</v>
      </c>
      <c r="AG10" s="10">
        <f>O55</f>
        <v>-3.110546169329294</v>
      </c>
      <c r="AH10" s="10">
        <f>P56</f>
        <v>-2.1615878317338133</v>
      </c>
      <c r="AI10" s="10">
        <f>Q57</f>
        <v>0</v>
      </c>
      <c r="AJ10" s="10">
        <f t="shared" ref="AJ10:AN10" si="14">R57</f>
        <v>0</v>
      </c>
      <c r="AK10" s="10">
        <f t="shared" si="14"/>
        <v>0</v>
      </c>
      <c r="AL10" s="10">
        <f t="shared" si="14"/>
        <v>0</v>
      </c>
      <c r="AM10" s="10">
        <f t="shared" si="14"/>
        <v>0</v>
      </c>
      <c r="AN10" s="10">
        <f t="shared" si="14"/>
        <v>0</v>
      </c>
    </row>
    <row r="11" spans="1:40" x14ac:dyDescent="0.25">
      <c r="A11" s="25" t="s">
        <v>11</v>
      </c>
      <c r="B11" s="27">
        <v>11</v>
      </c>
      <c r="G11" s="29">
        <f t="shared" si="0"/>
        <v>0.8</v>
      </c>
      <c r="H11" s="4"/>
      <c r="I11" s="4"/>
      <c r="J11" s="4"/>
      <c r="K11" s="4"/>
      <c r="L11" s="4"/>
      <c r="M11" s="7">
        <v>0</v>
      </c>
      <c r="N11" s="9">
        <f t="shared" si="7"/>
        <v>0.99479964825387979</v>
      </c>
      <c r="O11" s="9">
        <f t="shared" si="7"/>
        <v>1.7581103910313771</v>
      </c>
      <c r="P11" s="9">
        <f t="shared" si="7"/>
        <v>2.3488742010732548</v>
      </c>
      <c r="Q11" s="9">
        <f t="shared" si="7"/>
        <v>2.8047758625228649</v>
      </c>
      <c r="R11" s="9">
        <f t="shared" si="7"/>
        <v>3.1549800071726368</v>
      </c>
      <c r="S11" s="9">
        <f t="shared" si="7"/>
        <v>3.4270733513219858</v>
      </c>
      <c r="T11" s="9">
        <f t="shared" si="7"/>
        <v>3.6453883151181237</v>
      </c>
      <c r="U11" s="9">
        <f t="shared" si="7"/>
        <v>3.8305698293566506</v>
      </c>
      <c r="V11" s="34">
        <f t="shared" si="4"/>
        <v>4</v>
      </c>
      <c r="W11" s="36">
        <v>5</v>
      </c>
      <c r="Y11" s="10" t="s">
        <v>12</v>
      </c>
      <c r="Z11" s="10">
        <f>((Z9)^2+(Z10)^2)^0.5</f>
        <v>10</v>
      </c>
      <c r="AA11" s="10">
        <f t="shared" ref="AA11:AN11" si="15">((AA9)^2+(AA10)^2)^0.5</f>
        <v>10.173114658659474</v>
      </c>
      <c r="AB11" s="10">
        <f t="shared" si="15"/>
        <v>10.436411549629875</v>
      </c>
      <c r="AC11" s="10">
        <f t="shared" si="15"/>
        <v>10.954995476003567</v>
      </c>
      <c r="AD11" s="10">
        <f t="shared" si="15"/>
        <v>12.592502081259445</v>
      </c>
      <c r="AE11" s="10">
        <f t="shared" si="15"/>
        <v>8.2702996211034421</v>
      </c>
      <c r="AF11" s="10">
        <f t="shared" si="15"/>
        <v>6.3564900601596372</v>
      </c>
      <c r="AG11" s="10">
        <f t="shared" si="15"/>
        <v>5.0338657960146636</v>
      </c>
      <c r="AH11" s="10">
        <f t="shared" si="15"/>
        <v>3.7878700381386943</v>
      </c>
      <c r="AI11" s="10">
        <f t="shared" si="15"/>
        <v>2.1615878317338133</v>
      </c>
      <c r="AJ11" s="10">
        <f t="shared" si="15"/>
        <v>3.2506612965464612</v>
      </c>
      <c r="AK11" s="10">
        <f t="shared" si="15"/>
        <v>3.9019658760691942</v>
      </c>
      <c r="AL11" s="10">
        <f t="shared" si="15"/>
        <v>4.3489248620398655</v>
      </c>
      <c r="AM11" s="10">
        <f t="shared" si="15"/>
        <v>4.6955711447899686</v>
      </c>
      <c r="AN11" s="10">
        <f t="shared" si="15"/>
        <v>5</v>
      </c>
    </row>
    <row r="12" spans="1:40" x14ac:dyDescent="0.25">
      <c r="A12" s="25" t="s">
        <v>13</v>
      </c>
      <c r="B12" s="27">
        <v>15</v>
      </c>
      <c r="G12" s="29">
        <f t="shared" si="0"/>
        <v>0.60000000000000009</v>
      </c>
      <c r="H12" s="4"/>
      <c r="I12" s="4"/>
      <c r="J12" s="4"/>
      <c r="K12" s="4"/>
      <c r="L12" s="4"/>
      <c r="M12" s="4"/>
      <c r="N12" s="7">
        <v>0</v>
      </c>
      <c r="O12" s="9">
        <f t="shared" si="7"/>
        <v>0.79156319724345936</v>
      </c>
      <c r="P12" s="9">
        <f t="shared" si="7"/>
        <v>1.4097249195726242</v>
      </c>
      <c r="Q12" s="9">
        <f t="shared" si="7"/>
        <v>1.8791719105520079</v>
      </c>
      <c r="R12" s="9">
        <f t="shared" si="7"/>
        <v>2.225871890206744</v>
      </c>
      <c r="S12" s="9">
        <f t="shared" si="7"/>
        <v>2.484152092295898</v>
      </c>
      <c r="T12" s="9">
        <f t="shared" si="7"/>
        <v>2.6844062211008537</v>
      </c>
      <c r="U12" s="9">
        <f t="shared" si="7"/>
        <v>2.8501737700291629</v>
      </c>
      <c r="V12" s="34">
        <f t="shared" si="4"/>
        <v>3</v>
      </c>
      <c r="W12" s="36">
        <v>4</v>
      </c>
      <c r="Y12" s="10" t="s">
        <v>14</v>
      </c>
      <c r="Z12" s="11">
        <f>B5</f>
        <v>101325</v>
      </c>
      <c r="AA12" s="11">
        <f>(Z12+(Z11^2)/2)-(AA11^2)/2</f>
        <v>101323.25386907089</v>
      </c>
      <c r="AB12" s="11">
        <f t="shared" ref="AB12:AN12" si="16">(AA12+(AA11^2)/2)-(AB11^2)/2</f>
        <v>101320.54065698337</v>
      </c>
      <c r="AC12" s="11">
        <f t="shared" si="16"/>
        <v>101314.99403706037</v>
      </c>
      <c r="AD12" s="11">
        <f t="shared" si="16"/>
        <v>101295.71444566674</v>
      </c>
      <c r="AE12" s="11">
        <f t="shared" si="16"/>
        <v>101340.80107208859</v>
      </c>
      <c r="AF12" s="11">
        <f t="shared" si="16"/>
        <v>101354.79751705755</v>
      </c>
      <c r="AG12" s="11">
        <f t="shared" si="16"/>
        <v>101362.33009757385</v>
      </c>
      <c r="AH12" s="11">
        <f t="shared" si="16"/>
        <v>101367.82602028709</v>
      </c>
      <c r="AI12" s="11">
        <f t="shared" si="16"/>
        <v>101372.66376902285</v>
      </c>
      <c r="AJ12" s="11">
        <f t="shared" si="16"/>
        <v>101369.71660056757</v>
      </c>
      <c r="AK12" s="11">
        <f t="shared" si="16"/>
        <v>101367.387331151</v>
      </c>
      <c r="AL12" s="11">
        <f t="shared" si="16"/>
        <v>101365.54342627217</v>
      </c>
      <c r="AM12" s="11">
        <f t="shared" si="16"/>
        <v>101363.97580581211</v>
      </c>
      <c r="AN12" s="11">
        <f t="shared" si="16"/>
        <v>101362.5</v>
      </c>
    </row>
    <row r="13" spans="1:40" x14ac:dyDescent="0.25">
      <c r="A13" s="25" t="s">
        <v>15</v>
      </c>
      <c r="B13" s="27">
        <v>6</v>
      </c>
      <c r="G13" s="29">
        <f t="shared" si="0"/>
        <v>0.4</v>
      </c>
      <c r="H13" s="4"/>
      <c r="I13" s="4"/>
      <c r="J13" s="4"/>
      <c r="K13" s="4"/>
      <c r="L13" s="4"/>
      <c r="M13" s="4"/>
      <c r="N13" s="4"/>
      <c r="O13" s="7">
        <v>0</v>
      </c>
      <c r="P13" s="9">
        <f t="shared" si="7"/>
        <v>0.62210923386585881</v>
      </c>
      <c r="Q13" s="9">
        <f t="shared" si="7"/>
        <v>1.0801057729407675</v>
      </c>
      <c r="R13" s="9">
        <f t="shared" si="7"/>
        <v>1.3890849228876607</v>
      </c>
      <c r="S13" s="9">
        <f t="shared" si="7"/>
        <v>1.6029425241047464</v>
      </c>
      <c r="T13" s="9">
        <f t="shared" si="7"/>
        <v>1.7605984291337538</v>
      </c>
      <c r="U13" s="9">
        <f t="shared" si="7"/>
        <v>1.8872166955633569</v>
      </c>
      <c r="V13" s="34">
        <f t="shared" si="4"/>
        <v>2</v>
      </c>
      <c r="W13" s="36">
        <v>3</v>
      </c>
      <c r="Y13" s="10" t="s">
        <v>16</v>
      </c>
      <c r="Z13" s="10">
        <f>(Z12-$B$5)/(($B$4^2)/2)</f>
        <v>0</v>
      </c>
      <c r="AA13" s="10">
        <f t="shared" ref="AA13:AN13" si="17">(AA12-$B$5)/(($B$4^2)/2)</f>
        <v>-3.4922618582204447E-2</v>
      </c>
      <c r="AB13" s="10">
        <f t="shared" si="17"/>
        <v>-8.9186860332556531E-2</v>
      </c>
      <c r="AC13" s="10">
        <f t="shared" si="17"/>
        <v>-0.20011925879254705</v>
      </c>
      <c r="AD13" s="10">
        <f t="shared" si="17"/>
        <v>-0.58571108666510552</v>
      </c>
      <c r="AE13" s="10">
        <f t="shared" si="17"/>
        <v>0.31602144177188163</v>
      </c>
      <c r="AF13" s="10">
        <f t="shared" si="17"/>
        <v>0.59595034115103773</v>
      </c>
      <c r="AG13" s="10">
        <f t="shared" si="17"/>
        <v>0.74660195147705966</v>
      </c>
      <c r="AH13" s="10">
        <f t="shared" si="17"/>
        <v>0.8565204057417577</v>
      </c>
      <c r="AI13" s="10">
        <f t="shared" si="17"/>
        <v>0.95327538045705296</v>
      </c>
      <c r="AJ13" s="10">
        <f t="shared" si="17"/>
        <v>0.89433201135136187</v>
      </c>
      <c r="AK13" s="10">
        <f t="shared" si="17"/>
        <v>0.84774662301992065</v>
      </c>
      <c r="AL13" s="10">
        <f t="shared" si="17"/>
        <v>0.81086852544336585</v>
      </c>
      <c r="AM13" s="10">
        <f t="shared" si="17"/>
        <v>0.77951611624215733</v>
      </c>
      <c r="AN13" s="10">
        <f t="shared" si="17"/>
        <v>0.75</v>
      </c>
    </row>
    <row r="14" spans="1:40" x14ac:dyDescent="0.25">
      <c r="A14" s="26" t="s">
        <v>3</v>
      </c>
      <c r="B14" s="27">
        <v>0</v>
      </c>
      <c r="G14" s="29">
        <f>G15+B$2</f>
        <v>0.2</v>
      </c>
      <c r="H14" s="4"/>
      <c r="I14" s="4"/>
      <c r="J14" s="4"/>
      <c r="K14" s="4"/>
      <c r="L14" s="4"/>
      <c r="M14" s="4"/>
      <c r="N14" s="4"/>
      <c r="O14" s="4"/>
      <c r="P14" s="7">
        <v>0</v>
      </c>
      <c r="Q14" s="9">
        <f t="shared" si="7"/>
        <v>0.43231756634676266</v>
      </c>
      <c r="R14" s="9">
        <f t="shared" si="7"/>
        <v>0.6501322593092923</v>
      </c>
      <c r="S14" s="9">
        <f t="shared" si="7"/>
        <v>0.78039317521383889</v>
      </c>
      <c r="T14" s="9">
        <f t="shared" si="7"/>
        <v>0.86978497240797314</v>
      </c>
      <c r="U14" s="9">
        <f t="shared" si="7"/>
        <v>0.93911422895799379</v>
      </c>
      <c r="V14" s="34">
        <f>V15+$B$6*$B$2</f>
        <v>1</v>
      </c>
      <c r="W14" s="36">
        <v>2</v>
      </c>
    </row>
    <row r="15" spans="1:40" x14ac:dyDescent="0.25">
      <c r="G15" s="29">
        <v>0</v>
      </c>
      <c r="H15" s="4"/>
      <c r="I15" s="4"/>
      <c r="J15" s="4"/>
      <c r="K15" s="4"/>
      <c r="L15" s="4"/>
      <c r="M15" s="4"/>
      <c r="N15" s="4"/>
      <c r="O15" s="4"/>
      <c r="P15" s="4"/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35">
        <v>0</v>
      </c>
      <c r="W15" s="36">
        <v>1</v>
      </c>
    </row>
    <row r="16" spans="1:40" x14ac:dyDescent="0.25">
      <c r="G16" s="4"/>
      <c r="H16" s="29">
        <v>0</v>
      </c>
      <c r="I16" s="29">
        <f>H16+$B$2</f>
        <v>0.2</v>
      </c>
      <c r="J16" s="29">
        <f t="shared" ref="J16:V16" si="18">I16+$B$2</f>
        <v>0.4</v>
      </c>
      <c r="K16" s="29">
        <f t="shared" si="18"/>
        <v>0.60000000000000009</v>
      </c>
      <c r="L16" s="29">
        <f t="shared" si="18"/>
        <v>0.8</v>
      </c>
      <c r="M16" s="29">
        <f t="shared" si="18"/>
        <v>1</v>
      </c>
      <c r="N16" s="29">
        <f t="shared" si="18"/>
        <v>1.2</v>
      </c>
      <c r="O16" s="29">
        <f t="shared" si="18"/>
        <v>1.4</v>
      </c>
      <c r="P16" s="29">
        <f t="shared" si="18"/>
        <v>1.5999999999999999</v>
      </c>
      <c r="Q16" s="29">
        <f t="shared" si="18"/>
        <v>1.7999999999999998</v>
      </c>
      <c r="R16" s="29">
        <f t="shared" si="18"/>
        <v>1.9999999999999998</v>
      </c>
      <c r="S16" s="29">
        <f t="shared" si="18"/>
        <v>2.1999999999999997</v>
      </c>
      <c r="T16" s="29">
        <f t="shared" si="18"/>
        <v>2.4</v>
      </c>
      <c r="U16" s="29">
        <f t="shared" si="18"/>
        <v>2.6</v>
      </c>
      <c r="V16" s="29">
        <f t="shared" si="18"/>
        <v>2.8000000000000003</v>
      </c>
      <c r="W16" s="5"/>
    </row>
    <row r="17" spans="7:40" x14ac:dyDescent="0.25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Y17" s="42" t="s">
        <v>18</v>
      </c>
      <c r="Z17" s="42"/>
    </row>
    <row r="18" spans="7:40" x14ac:dyDescent="0.25"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Y18" s="8">
        <v>0</v>
      </c>
      <c r="Z18" s="8">
        <v>1</v>
      </c>
      <c r="AA18" s="8">
        <v>2</v>
      </c>
      <c r="AB18" s="8">
        <v>3</v>
      </c>
      <c r="AC18" s="8">
        <v>4</v>
      </c>
      <c r="AD18" s="8">
        <v>5</v>
      </c>
      <c r="AE18" s="8">
        <v>6</v>
      </c>
      <c r="AF18" s="8">
        <v>7</v>
      </c>
      <c r="AG18" s="8">
        <v>8</v>
      </c>
      <c r="AH18" s="8">
        <v>9</v>
      </c>
      <c r="AI18" s="8">
        <v>10</v>
      </c>
      <c r="AJ18" s="8">
        <v>11</v>
      </c>
      <c r="AK18" s="8">
        <v>12</v>
      </c>
      <c r="AL18" s="8">
        <v>13</v>
      </c>
      <c r="AM18" s="8">
        <v>14</v>
      </c>
      <c r="AN18" s="8">
        <v>15</v>
      </c>
    </row>
    <row r="19" spans="7:40" x14ac:dyDescent="0.25">
      <c r="G19" s="29">
        <f t="shared" ref="G19:G27" si="19">G20+B$2</f>
        <v>1.9999999999999998</v>
      </c>
      <c r="H19" s="13">
        <v>10</v>
      </c>
      <c r="I19" s="13">
        <v>10</v>
      </c>
      <c r="J19" s="13">
        <v>10</v>
      </c>
      <c r="K19" s="13">
        <v>10</v>
      </c>
      <c r="L19" s="13">
        <v>10</v>
      </c>
      <c r="M19" s="13">
        <v>10</v>
      </c>
      <c r="N19" s="13">
        <v>10</v>
      </c>
      <c r="O19" s="13">
        <v>10</v>
      </c>
      <c r="P19" s="13">
        <v>10</v>
      </c>
      <c r="Q19" s="13">
        <v>10</v>
      </c>
      <c r="R19" s="13">
        <v>10</v>
      </c>
      <c r="S19" s="13">
        <v>10</v>
      </c>
      <c r="T19" s="13">
        <v>10</v>
      </c>
      <c r="U19" s="13">
        <v>10</v>
      </c>
      <c r="V19" s="13">
        <v>10</v>
      </c>
      <c r="W19" s="5"/>
      <c r="Y19" s="40" t="s">
        <v>3</v>
      </c>
      <c r="Z19" s="10">
        <f>H5</f>
        <v>10</v>
      </c>
      <c r="AA19" s="10">
        <f t="shared" ref="AA19:AN19" si="20">I5</f>
        <v>10</v>
      </c>
      <c r="AB19" s="10">
        <f t="shared" si="20"/>
        <v>10</v>
      </c>
      <c r="AC19" s="10">
        <f t="shared" si="20"/>
        <v>10</v>
      </c>
      <c r="AD19" s="10">
        <f t="shared" si="20"/>
        <v>10</v>
      </c>
      <c r="AE19" s="10">
        <f t="shared" si="20"/>
        <v>10</v>
      </c>
      <c r="AF19" s="10">
        <f t="shared" si="20"/>
        <v>10</v>
      </c>
      <c r="AG19" s="10">
        <f t="shared" si="20"/>
        <v>10</v>
      </c>
      <c r="AH19" s="10">
        <f t="shared" si="20"/>
        <v>10</v>
      </c>
      <c r="AI19" s="10">
        <f t="shared" si="20"/>
        <v>10</v>
      </c>
      <c r="AJ19" s="10">
        <f t="shared" si="20"/>
        <v>10</v>
      </c>
      <c r="AK19" s="10">
        <f t="shared" si="20"/>
        <v>10</v>
      </c>
      <c r="AL19" s="10">
        <f t="shared" si="20"/>
        <v>10</v>
      </c>
      <c r="AM19" s="10">
        <f t="shared" si="20"/>
        <v>10</v>
      </c>
      <c r="AN19" s="10">
        <f t="shared" si="20"/>
        <v>10</v>
      </c>
    </row>
    <row r="20" spans="7:40" x14ac:dyDescent="0.25">
      <c r="G20" s="29">
        <f t="shared" si="19"/>
        <v>1.7999999999999998</v>
      </c>
      <c r="H20" s="13">
        <v>8</v>
      </c>
      <c r="I20" s="13">
        <v>8.0275614070754813</v>
      </c>
      <c r="J20" s="13">
        <v>8.0631999629028606</v>
      </c>
      <c r="K20" s="13">
        <v>8.1153305810846703</v>
      </c>
      <c r="L20" s="13">
        <v>8.1911391762005543</v>
      </c>
      <c r="M20" s="13">
        <v>8.2912463966786447</v>
      </c>
      <c r="N20" s="13">
        <v>8.4030056260204837</v>
      </c>
      <c r="O20" s="13">
        <v>8.5134194132186849</v>
      </c>
      <c r="P20" s="13">
        <v>8.6144564716277845</v>
      </c>
      <c r="Q20" s="13">
        <v>8.7029794284088151</v>
      </c>
      <c r="R20" s="13">
        <v>8.7789259260712669</v>
      </c>
      <c r="S20" s="13">
        <v>8.844021436039494</v>
      </c>
      <c r="T20" s="13">
        <v>8.9007039384755444</v>
      </c>
      <c r="U20" s="13">
        <v>8.9517624528756201</v>
      </c>
      <c r="V20" s="13">
        <v>9</v>
      </c>
      <c r="W20" s="5"/>
      <c r="Y20" s="10" t="s">
        <v>5</v>
      </c>
      <c r="Z20" s="10">
        <f>H30</f>
        <v>0</v>
      </c>
      <c r="AA20" s="10">
        <f t="shared" ref="AA20:AN20" si="21">I30</f>
        <v>0.2</v>
      </c>
      <c r="AB20" s="10">
        <f t="shared" si="21"/>
        <v>0.4</v>
      </c>
      <c r="AC20" s="10">
        <f t="shared" si="21"/>
        <v>0.60000000000000009</v>
      </c>
      <c r="AD20" s="10">
        <f t="shared" si="21"/>
        <v>0.8</v>
      </c>
      <c r="AE20" s="10">
        <f t="shared" si="21"/>
        <v>1</v>
      </c>
      <c r="AF20" s="10">
        <f t="shared" si="21"/>
        <v>1.2</v>
      </c>
      <c r="AG20" s="10">
        <f t="shared" si="21"/>
        <v>1.4</v>
      </c>
      <c r="AH20" s="10">
        <f t="shared" si="21"/>
        <v>1.5999999999999999</v>
      </c>
      <c r="AI20" s="10">
        <f t="shared" si="21"/>
        <v>1.7999999999999998</v>
      </c>
      <c r="AJ20" s="10">
        <f t="shared" si="21"/>
        <v>1.9999999999999998</v>
      </c>
      <c r="AK20" s="10">
        <f t="shared" si="21"/>
        <v>2.1999999999999997</v>
      </c>
      <c r="AL20" s="10">
        <f t="shared" si="21"/>
        <v>2.4</v>
      </c>
      <c r="AM20" s="10">
        <f t="shared" si="21"/>
        <v>2.6</v>
      </c>
      <c r="AN20" s="10">
        <f t="shared" si="21"/>
        <v>2.8000000000000003</v>
      </c>
    </row>
    <row r="21" spans="7:40" x14ac:dyDescent="0.25">
      <c r="G21" s="29">
        <f t="shared" si="19"/>
        <v>1.5999999999999999</v>
      </c>
      <c r="H21" s="13">
        <v>6</v>
      </c>
      <c r="I21" s="13">
        <v>6.0472161162292366</v>
      </c>
      <c r="J21" s="13">
        <v>6.1102838157998018</v>
      </c>
      <c r="K21" s="13">
        <v>6.207579111778653</v>
      </c>
      <c r="L21" s="13">
        <v>6.3588970759674162</v>
      </c>
      <c r="M21" s="13">
        <v>6.5720641050783319</v>
      </c>
      <c r="N21" s="13">
        <v>6.808992481954161</v>
      </c>
      <c r="O21" s="13">
        <v>7.038105680304418</v>
      </c>
      <c r="P21" s="13">
        <v>7.2436093910964825</v>
      </c>
      <c r="Q21" s="13">
        <v>7.4207034690469342</v>
      </c>
      <c r="R21" s="13">
        <v>7.5708310516424255</v>
      </c>
      <c r="S21" s="13">
        <v>7.6982029335741338</v>
      </c>
      <c r="T21" s="13">
        <v>7.8083522167695705</v>
      </c>
      <c r="U21" s="13">
        <v>7.9070166118103291</v>
      </c>
      <c r="V21" s="13">
        <v>8</v>
      </c>
      <c r="W21" s="5"/>
      <c r="Y21" s="10" t="s">
        <v>7</v>
      </c>
      <c r="Z21" s="10">
        <f>$G$19</f>
        <v>1.9999999999999998</v>
      </c>
      <c r="AA21" s="10">
        <f t="shared" ref="AA21:AN21" si="22">$G$19</f>
        <v>1.9999999999999998</v>
      </c>
      <c r="AB21" s="10">
        <f t="shared" si="22"/>
        <v>1.9999999999999998</v>
      </c>
      <c r="AC21" s="10">
        <f t="shared" si="22"/>
        <v>1.9999999999999998</v>
      </c>
      <c r="AD21" s="10">
        <f t="shared" si="22"/>
        <v>1.9999999999999998</v>
      </c>
      <c r="AE21" s="10">
        <f t="shared" si="22"/>
        <v>1.9999999999999998</v>
      </c>
      <c r="AF21" s="10">
        <f t="shared" si="22"/>
        <v>1.9999999999999998</v>
      </c>
      <c r="AG21" s="10">
        <f t="shared" si="22"/>
        <v>1.9999999999999998</v>
      </c>
      <c r="AH21" s="10">
        <f t="shared" si="22"/>
        <v>1.9999999999999998</v>
      </c>
      <c r="AI21" s="10">
        <f t="shared" si="22"/>
        <v>1.9999999999999998</v>
      </c>
      <c r="AJ21" s="10">
        <f t="shared" si="22"/>
        <v>1.9999999999999998</v>
      </c>
      <c r="AK21" s="10">
        <f t="shared" si="22"/>
        <v>1.9999999999999998</v>
      </c>
      <c r="AL21" s="10">
        <f t="shared" si="22"/>
        <v>1.9999999999999998</v>
      </c>
      <c r="AM21" s="10">
        <f t="shared" si="22"/>
        <v>1.9999999999999998</v>
      </c>
      <c r="AN21" s="10">
        <f t="shared" si="22"/>
        <v>1.9999999999999998</v>
      </c>
    </row>
    <row r="22" spans="7:40" x14ac:dyDescent="0.25">
      <c r="G22" s="29">
        <f t="shared" si="19"/>
        <v>1.4</v>
      </c>
      <c r="H22" s="13">
        <v>4</v>
      </c>
      <c r="I22" s="13">
        <v>4.0513110872253311</v>
      </c>
      <c r="J22" s="13">
        <v>4.1237427002193794</v>
      </c>
      <c r="K22" s="13">
        <v>4.2468468141549991</v>
      </c>
      <c r="L22" s="13">
        <v>4.4663277999874991</v>
      </c>
      <c r="M22" s="13">
        <v>4.8313619906021854</v>
      </c>
      <c r="N22" s="13">
        <v>5.2256400655296815</v>
      </c>
      <c r="O22" s="13">
        <v>5.5899928636320055</v>
      </c>
      <c r="P22" s="13">
        <v>5.9050649899318834</v>
      </c>
      <c r="Q22" s="13">
        <v>6.1695842239857885</v>
      </c>
      <c r="R22" s="13">
        <v>6.3893316941495577</v>
      </c>
      <c r="S22" s="13">
        <v>6.5730089667012752</v>
      </c>
      <c r="T22" s="13">
        <v>6.7298792065442399</v>
      </c>
      <c r="U22" s="13">
        <v>6.8692616586308111</v>
      </c>
      <c r="V22" s="13">
        <v>7</v>
      </c>
      <c r="W22" s="5"/>
      <c r="Y22" s="10" t="s">
        <v>8</v>
      </c>
      <c r="Z22" s="10">
        <f>H34</f>
        <v>10</v>
      </c>
      <c r="AA22" s="10">
        <f t="shared" ref="AA22:AN22" si="23">I34</f>
        <v>9.8817773061871161</v>
      </c>
      <c r="AB22" s="10">
        <f t="shared" si="23"/>
        <v>9.7239138180436679</v>
      </c>
      <c r="AC22" s="10">
        <f t="shared" si="23"/>
        <v>9.4804010706206956</v>
      </c>
      <c r="AD22" s="10">
        <f t="shared" si="23"/>
        <v>9.1018061293468495</v>
      </c>
      <c r="AE22" s="10">
        <f t="shared" si="23"/>
        <v>8.5684387842484941</v>
      </c>
      <c r="AF22" s="10">
        <f t="shared" si="23"/>
        <v>7.9757403269169265</v>
      </c>
      <c r="AG22" s="10">
        <f t="shared" si="23"/>
        <v>7.4024911563116653</v>
      </c>
      <c r="AH22" s="10">
        <f t="shared" si="23"/>
        <v>6.8885433681806125</v>
      </c>
      <c r="AI22" s="10">
        <f t="shared" si="23"/>
        <v>6.4456224405415563</v>
      </c>
      <c r="AJ22" s="10">
        <f t="shared" si="23"/>
        <v>6.0705224857238171</v>
      </c>
      <c r="AK22" s="10">
        <f t="shared" si="23"/>
        <v>5.7523664555295202</v>
      </c>
      <c r="AL22" s="10">
        <f t="shared" si="23"/>
        <v>5.4776233184973462</v>
      </c>
      <c r="AM22" s="10">
        <f t="shared" si="23"/>
        <v>5.2316397948274984</v>
      </c>
      <c r="AN22" s="10">
        <f t="shared" si="23"/>
        <v>5</v>
      </c>
    </row>
    <row r="23" spans="7:40" x14ac:dyDescent="0.25">
      <c r="G23" s="29">
        <f t="shared" si="19"/>
        <v>1.2</v>
      </c>
      <c r="H23" s="13">
        <v>2</v>
      </c>
      <c r="I23" s="13">
        <v>2.0345751280299549</v>
      </c>
      <c r="J23" s="13">
        <v>2.0871806397022494</v>
      </c>
      <c r="K23" s="13">
        <v>2.190811411454566</v>
      </c>
      <c r="L23" s="13">
        <v>2.4299689269456048</v>
      </c>
      <c r="M23" s="13">
        <v>3.0639902484297359</v>
      </c>
      <c r="N23" s="13">
        <v>3.6758983491488588</v>
      </c>
      <c r="O23" s="13">
        <v>4.1956165322543528</v>
      </c>
      <c r="P23" s="13">
        <v>4.6223723085939739</v>
      </c>
      <c r="Q23" s="13">
        <v>4.9686039292007145</v>
      </c>
      <c r="R23" s="13">
        <v>5.2492382487036924</v>
      </c>
      <c r="S23" s="13">
        <v>5.479038430228595</v>
      </c>
      <c r="T23" s="13">
        <v>5.6722488715848147</v>
      </c>
      <c r="U23" s="13">
        <v>5.8418598702260525</v>
      </c>
      <c r="V23" s="13">
        <v>6</v>
      </c>
      <c r="W23" s="5"/>
      <c r="Y23" s="10" t="s">
        <v>10</v>
      </c>
      <c r="Z23" s="10">
        <f>H47</f>
        <v>0</v>
      </c>
      <c r="AA23" s="10">
        <f t="shared" ref="AA23:AN23" si="24">I47</f>
        <v>0</v>
      </c>
      <c r="AB23" s="10">
        <f t="shared" si="24"/>
        <v>0</v>
      </c>
      <c r="AC23" s="10">
        <f t="shared" si="24"/>
        <v>0</v>
      </c>
      <c r="AD23" s="10">
        <f t="shared" si="24"/>
        <v>0</v>
      </c>
      <c r="AE23" s="10">
        <f t="shared" si="24"/>
        <v>0</v>
      </c>
      <c r="AF23" s="10">
        <f t="shared" si="24"/>
        <v>0</v>
      </c>
      <c r="AG23" s="10">
        <f t="shared" si="24"/>
        <v>0</v>
      </c>
      <c r="AH23" s="10">
        <f t="shared" si="24"/>
        <v>0</v>
      </c>
      <c r="AI23" s="10">
        <f t="shared" si="24"/>
        <v>0</v>
      </c>
      <c r="AJ23" s="10">
        <f t="shared" si="24"/>
        <v>0</v>
      </c>
      <c r="AK23" s="10">
        <f t="shared" si="24"/>
        <v>0</v>
      </c>
      <c r="AL23" s="10">
        <f t="shared" si="24"/>
        <v>0</v>
      </c>
      <c r="AM23" s="10">
        <f t="shared" si="24"/>
        <v>0</v>
      </c>
      <c r="AN23" s="10">
        <f t="shared" si="24"/>
        <v>0</v>
      </c>
    </row>
    <row r="24" spans="7:40" x14ac:dyDescent="0.25">
      <c r="G24" s="29">
        <f t="shared" si="19"/>
        <v>1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1.321131235727194</v>
      </c>
      <c r="N24" s="13">
        <v>2.221897215747922</v>
      </c>
      <c r="O24" s="13">
        <v>2.8990952319402838</v>
      </c>
      <c r="P24" s="13">
        <v>3.4257947391395582</v>
      </c>
      <c r="Q24" s="13">
        <v>3.8394404362866776</v>
      </c>
      <c r="R24" s="13">
        <v>4.1657991840303721</v>
      </c>
      <c r="S24" s="13">
        <v>4.4268831979950054</v>
      </c>
      <c r="T24" s="13">
        <v>4.6419249946453558</v>
      </c>
      <c r="U24" s="13">
        <v>4.8279662942522661</v>
      </c>
      <c r="V24" s="13">
        <v>5</v>
      </c>
      <c r="W24" s="5"/>
      <c r="Y24" s="10" t="s">
        <v>12</v>
      </c>
      <c r="Z24" s="10">
        <f>((Z22)^2+(Z23)^2)^0.5</f>
        <v>10</v>
      </c>
      <c r="AA24" s="10">
        <f t="shared" ref="AA24:AN24" si="25">((AA22)^2+(AA23)^2)^0.5</f>
        <v>9.8817773061871161</v>
      </c>
      <c r="AB24" s="10">
        <f t="shared" si="25"/>
        <v>9.7239138180436679</v>
      </c>
      <c r="AC24" s="10">
        <f t="shared" si="25"/>
        <v>9.4804010706206956</v>
      </c>
      <c r="AD24" s="10">
        <f t="shared" si="25"/>
        <v>9.1018061293468495</v>
      </c>
      <c r="AE24" s="10">
        <f t="shared" si="25"/>
        <v>8.5684387842484941</v>
      </c>
      <c r="AF24" s="10">
        <f t="shared" si="25"/>
        <v>7.9757403269169265</v>
      </c>
      <c r="AG24" s="10">
        <f t="shared" si="25"/>
        <v>7.4024911563116653</v>
      </c>
      <c r="AH24" s="10">
        <f t="shared" si="25"/>
        <v>6.8885433681806125</v>
      </c>
      <c r="AI24" s="10">
        <f t="shared" si="25"/>
        <v>6.4456224405415563</v>
      </c>
      <c r="AJ24" s="10">
        <f t="shared" si="25"/>
        <v>6.0705224857238171</v>
      </c>
      <c r="AK24" s="10">
        <f t="shared" si="25"/>
        <v>5.7523664555295202</v>
      </c>
      <c r="AL24" s="10">
        <f t="shared" si="25"/>
        <v>5.4776233184973462</v>
      </c>
      <c r="AM24" s="10">
        <f t="shared" si="25"/>
        <v>5.2316397948274984</v>
      </c>
      <c r="AN24" s="10">
        <f t="shared" si="25"/>
        <v>5</v>
      </c>
    </row>
    <row r="25" spans="7:40" x14ac:dyDescent="0.25">
      <c r="G25" s="29">
        <f t="shared" si="19"/>
        <v>0.8</v>
      </c>
      <c r="H25" s="4"/>
      <c r="I25" s="4"/>
      <c r="J25" s="4"/>
      <c r="K25" s="4"/>
      <c r="L25" s="4"/>
      <c r="M25" s="14">
        <v>0</v>
      </c>
      <c r="N25" s="13">
        <v>0.99440572478522726</v>
      </c>
      <c r="O25" s="13">
        <v>1.7573013772675972</v>
      </c>
      <c r="P25" s="13">
        <v>2.3477809988951543</v>
      </c>
      <c r="Q25" s="13">
        <v>2.8034492761796233</v>
      </c>
      <c r="R25" s="13">
        <v>3.1536767660126932</v>
      </c>
      <c r="S25" s="13">
        <v>3.4258701379155791</v>
      </c>
      <c r="T25" s="13">
        <v>3.6445211141882021</v>
      </c>
      <c r="U25" s="13">
        <v>3.8300893228071375</v>
      </c>
      <c r="V25" s="13">
        <v>4</v>
      </c>
      <c r="W25" s="5"/>
      <c r="Y25" s="10" t="s">
        <v>14</v>
      </c>
      <c r="Z25" s="11">
        <f>B5</f>
        <v>101325</v>
      </c>
      <c r="AA25" s="11">
        <f>(Z25+(Z24^2)/2)-(AA24^2)/2</f>
        <v>101326.17523863546</v>
      </c>
      <c r="AB25" s="11">
        <f t="shared" ref="AB25:AN25" si="26">(AA25+(AA24^2)/2)-(AB24^2)/2</f>
        <v>101327.72275002963</v>
      </c>
      <c r="AC25" s="11">
        <f t="shared" si="26"/>
        <v>101330.06099777008</v>
      </c>
      <c r="AD25" s="11">
        <f t="shared" si="26"/>
        <v>101333.57856259189</v>
      </c>
      <c r="AE25" s="11">
        <f t="shared" si="26"/>
        <v>101338.2909284003</v>
      </c>
      <c r="AF25" s="11">
        <f t="shared" si="26"/>
        <v>101343.1937831188</v>
      </c>
      <c r="AG25" s="11">
        <f t="shared" si="26"/>
        <v>101347.60156234037</v>
      </c>
      <c r="AH25" s="11">
        <f t="shared" si="26"/>
        <v>101351.27398513234</v>
      </c>
      <c r="AI25" s="11">
        <f t="shared" si="26"/>
        <v>101354.226975677</v>
      </c>
      <c r="AJ25" s="11">
        <f t="shared" si="26"/>
        <v>101356.57437837517</v>
      </c>
      <c r="AK25" s="11">
        <f t="shared" si="26"/>
        <v>101358.45514008065</v>
      </c>
      <c r="AL25" s="11">
        <f t="shared" si="26"/>
        <v>101359.99782139032</v>
      </c>
      <c r="AM25" s="11">
        <f t="shared" si="26"/>
        <v>101361.31497252859</v>
      </c>
      <c r="AN25" s="11">
        <f t="shared" si="26"/>
        <v>101362.5</v>
      </c>
    </row>
    <row r="26" spans="7:40" x14ac:dyDescent="0.25">
      <c r="G26" s="29">
        <f t="shared" si="19"/>
        <v>0.60000000000000009</v>
      </c>
      <c r="H26" s="4"/>
      <c r="I26" s="4"/>
      <c r="J26" s="4"/>
      <c r="K26" s="4"/>
      <c r="L26" s="4"/>
      <c r="M26" s="4"/>
      <c r="N26" s="14">
        <v>0</v>
      </c>
      <c r="O26" s="13">
        <v>0.79115960850484313</v>
      </c>
      <c r="P26" s="13">
        <v>1.4089514117062401</v>
      </c>
      <c r="Q26" s="13">
        <v>1.8782052488969341</v>
      </c>
      <c r="R26" s="13">
        <v>2.2248014305649733</v>
      </c>
      <c r="S26" s="13">
        <v>2.483212327092041</v>
      </c>
      <c r="T26" s="13">
        <v>2.6836688051044204</v>
      </c>
      <c r="U26" s="13">
        <v>2.8497919089861337</v>
      </c>
      <c r="V26" s="13">
        <v>3</v>
      </c>
      <c r="W26" s="5"/>
      <c r="Y26" s="10" t="s">
        <v>16</v>
      </c>
      <c r="Z26" s="10">
        <f>(Z25-$B$5)/(($B$4^2)/2)</f>
        <v>0</v>
      </c>
      <c r="AA26" s="10">
        <f t="shared" ref="AA26:AN26" si="27">(AA25-$B$5)/(($B$4^2)/2)</f>
        <v>2.3504772709275132E-2</v>
      </c>
      <c r="AB26" s="10">
        <f t="shared" si="27"/>
        <v>5.4455000592570288E-2</v>
      </c>
      <c r="AC26" s="10">
        <f t="shared" si="27"/>
        <v>0.10121995540161151</v>
      </c>
      <c r="AD26" s="10">
        <f t="shared" si="27"/>
        <v>0.17157125183788594</v>
      </c>
      <c r="AE26" s="10">
        <f t="shared" si="27"/>
        <v>0.26581856800592507</v>
      </c>
      <c r="AF26" s="10">
        <f t="shared" si="27"/>
        <v>0.36387566237593999</v>
      </c>
      <c r="AG26" s="10">
        <f t="shared" si="27"/>
        <v>0.45203124680730977</v>
      </c>
      <c r="AH26" s="10">
        <f t="shared" si="27"/>
        <v>0.52547970264684407</v>
      </c>
      <c r="AI26" s="10">
        <f t="shared" si="27"/>
        <v>0.58453951353993039</v>
      </c>
      <c r="AJ26" s="10">
        <f t="shared" si="27"/>
        <v>0.63148756750335455</v>
      </c>
      <c r="AK26" s="10">
        <f t="shared" si="27"/>
        <v>0.66910280161304403</v>
      </c>
      <c r="AL26" s="10">
        <f t="shared" si="27"/>
        <v>0.6999564278064645</v>
      </c>
      <c r="AM26" s="10">
        <f t="shared" si="27"/>
        <v>0.72629945057182344</v>
      </c>
      <c r="AN26" s="10">
        <f t="shared" si="27"/>
        <v>0.75</v>
      </c>
    </row>
    <row r="27" spans="7:40" x14ac:dyDescent="0.25">
      <c r="G27" s="29">
        <f t="shared" si="19"/>
        <v>0.4</v>
      </c>
      <c r="H27" s="4"/>
      <c r="I27" s="4"/>
      <c r="J27" s="4"/>
      <c r="K27" s="4"/>
      <c r="L27" s="4"/>
      <c r="M27" s="4"/>
      <c r="N27" s="4"/>
      <c r="O27" s="14">
        <v>0</v>
      </c>
      <c r="P27" s="13">
        <v>0.62175382199356577</v>
      </c>
      <c r="Q27" s="13">
        <v>1.0794855237571952</v>
      </c>
      <c r="R27" s="13">
        <v>1.3883932188253065</v>
      </c>
      <c r="S27" s="13">
        <v>1.6022679955986194</v>
      </c>
      <c r="T27" s="13">
        <v>1.7600995341370389</v>
      </c>
      <c r="U27" s="13">
        <v>1.8869369522050949</v>
      </c>
      <c r="V27" s="13">
        <v>2</v>
      </c>
      <c r="W27" s="5"/>
    </row>
    <row r="28" spans="7:40" x14ac:dyDescent="0.25">
      <c r="G28" s="29">
        <f>G29+B$2</f>
        <v>0.2</v>
      </c>
      <c r="H28" s="4"/>
      <c r="I28" s="4"/>
      <c r="J28" s="4"/>
      <c r="K28" s="4"/>
      <c r="L28" s="4"/>
      <c r="M28" s="4"/>
      <c r="N28" s="4"/>
      <c r="O28" s="4"/>
      <c r="P28" s="14">
        <v>0</v>
      </c>
      <c r="Q28" s="13">
        <v>0.43207080204726356</v>
      </c>
      <c r="R28" s="13">
        <v>0.64978474162985556</v>
      </c>
      <c r="S28" s="13">
        <v>0.78006501636459913</v>
      </c>
      <c r="T28" s="13">
        <v>0.86951996362688044</v>
      </c>
      <c r="U28" s="13">
        <v>0.93897533913025488</v>
      </c>
      <c r="V28" s="13">
        <v>1</v>
      </c>
      <c r="W28" s="5"/>
    </row>
    <row r="29" spans="7:40" x14ac:dyDescent="0.25">
      <c r="G29" s="29">
        <v>0</v>
      </c>
      <c r="H29" s="4"/>
      <c r="I29" s="4"/>
      <c r="J29" s="4"/>
      <c r="K29" s="4"/>
      <c r="L29" s="4"/>
      <c r="M29" s="4"/>
      <c r="N29" s="4"/>
      <c r="O29" s="4"/>
      <c r="P29" s="4"/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5"/>
    </row>
    <row r="30" spans="7:40" x14ac:dyDescent="0.25">
      <c r="G30" s="4"/>
      <c r="H30" s="29">
        <v>0</v>
      </c>
      <c r="I30" s="29">
        <f>H30+$B$2</f>
        <v>0.2</v>
      </c>
      <c r="J30" s="29">
        <f t="shared" ref="J30:V30" si="28">I30+$B$2</f>
        <v>0.4</v>
      </c>
      <c r="K30" s="29">
        <f t="shared" si="28"/>
        <v>0.60000000000000009</v>
      </c>
      <c r="L30" s="29">
        <f t="shared" si="28"/>
        <v>0.8</v>
      </c>
      <c r="M30" s="29">
        <f t="shared" si="28"/>
        <v>1</v>
      </c>
      <c r="N30" s="29">
        <f t="shared" si="28"/>
        <v>1.2</v>
      </c>
      <c r="O30" s="29">
        <f t="shared" si="28"/>
        <v>1.4</v>
      </c>
      <c r="P30" s="29">
        <f t="shared" si="28"/>
        <v>1.5999999999999999</v>
      </c>
      <c r="Q30" s="29">
        <f t="shared" si="28"/>
        <v>1.7999999999999998</v>
      </c>
      <c r="R30" s="29">
        <f t="shared" si="28"/>
        <v>1.9999999999999998</v>
      </c>
      <c r="S30" s="29">
        <f t="shared" si="28"/>
        <v>2.1999999999999997</v>
      </c>
      <c r="T30" s="29">
        <f t="shared" si="28"/>
        <v>2.4</v>
      </c>
      <c r="U30" s="29">
        <f t="shared" si="28"/>
        <v>2.6</v>
      </c>
      <c r="V30" s="29">
        <f t="shared" si="28"/>
        <v>2.8000000000000003</v>
      </c>
      <c r="W30" s="5"/>
    </row>
    <row r="31" spans="7:40" x14ac:dyDescent="0.25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7:40" x14ac:dyDescent="0.2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6:23" x14ac:dyDescent="0.25">
      <c r="F33" s="28" t="s">
        <v>8</v>
      </c>
      <c r="G33" s="29">
        <f t="shared" ref="G33:G41" si="29">G34+B$2</f>
        <v>1.9999999999999998</v>
      </c>
      <c r="H33" s="13">
        <f>(H5-H6)/$B$2</f>
        <v>10</v>
      </c>
      <c r="I33" s="13">
        <f t="shared" ref="I33:V33" si="30">(I5-I6)/$B$2</f>
        <v>9.861979901084883</v>
      </c>
      <c r="J33" s="13">
        <f t="shared" si="30"/>
        <v>9.683530245050056</v>
      </c>
      <c r="K33" s="13">
        <f t="shared" si="30"/>
        <v>9.4226021863974196</v>
      </c>
      <c r="L33" s="13">
        <f t="shared" si="30"/>
        <v>9.0431574328365905</v>
      </c>
      <c r="M33" s="13">
        <f t="shared" si="30"/>
        <v>8.5422388658757864</v>
      </c>
      <c r="N33" s="13">
        <f t="shared" si="30"/>
        <v>7.9829271351856335</v>
      </c>
      <c r="O33" s="13">
        <f t="shared" si="30"/>
        <v>7.4305402775591389</v>
      </c>
      <c r="P33" s="13">
        <f t="shared" si="30"/>
        <v>6.9249897090950174</v>
      </c>
      <c r="Q33" s="13">
        <f t="shared" si="30"/>
        <v>6.4823926665675202</v>
      </c>
      <c r="R33" s="13">
        <f t="shared" si="30"/>
        <v>6.1027101048865795</v>
      </c>
      <c r="S33" s="13">
        <f t="shared" si="30"/>
        <v>5.7777090023488142</v>
      </c>
      <c r="T33" s="13">
        <f t="shared" si="30"/>
        <v>5.4948298678941399</v>
      </c>
      <c r="U33" s="13">
        <f t="shared" si="30"/>
        <v>5.2403493121426603</v>
      </c>
      <c r="V33" s="14">
        <f t="shared" si="30"/>
        <v>5</v>
      </c>
      <c r="W33" s="5"/>
    </row>
    <row r="34" spans="6:23" x14ac:dyDescent="0.25">
      <c r="G34" s="29">
        <f t="shared" si="29"/>
        <v>1.7999999999999998</v>
      </c>
      <c r="H34" s="17">
        <f>(H5-H7)/(2*$B$2)</f>
        <v>10</v>
      </c>
      <c r="I34" s="15">
        <f>(I5-I7)/(2*$B$2)</f>
        <v>9.8817773061871161</v>
      </c>
      <c r="J34" s="15">
        <f t="shared" ref="J34:U41" si="31">(J5-J7)/(2*$B$2)</f>
        <v>9.7239138180436679</v>
      </c>
      <c r="K34" s="15">
        <f t="shared" si="31"/>
        <v>9.4804010706206956</v>
      </c>
      <c r="L34" s="15">
        <f t="shared" si="31"/>
        <v>9.1018061293468495</v>
      </c>
      <c r="M34" s="15">
        <f t="shared" si="31"/>
        <v>8.5684387842484941</v>
      </c>
      <c r="N34" s="15">
        <f t="shared" si="31"/>
        <v>7.9757403269169265</v>
      </c>
      <c r="O34" s="15">
        <f t="shared" si="31"/>
        <v>7.4024911563116653</v>
      </c>
      <c r="P34" s="15">
        <f t="shared" si="31"/>
        <v>6.8885433681806125</v>
      </c>
      <c r="Q34" s="15">
        <f t="shared" si="31"/>
        <v>6.4456224405415563</v>
      </c>
      <c r="R34" s="15">
        <f t="shared" si="31"/>
        <v>6.0705224857238171</v>
      </c>
      <c r="S34" s="15">
        <f t="shared" si="31"/>
        <v>5.7523664555295202</v>
      </c>
      <c r="T34" s="15">
        <f t="shared" si="31"/>
        <v>5.4776233184973462</v>
      </c>
      <c r="U34" s="15">
        <f t="shared" si="31"/>
        <v>5.2316397948274984</v>
      </c>
      <c r="V34" s="18">
        <f>(V5-V7)/(2*$B$2)</f>
        <v>5</v>
      </c>
      <c r="W34" s="5"/>
    </row>
    <row r="35" spans="6:23" x14ac:dyDescent="0.25">
      <c r="G35" s="29">
        <f t="shared" si="29"/>
        <v>1.5999999999999999</v>
      </c>
      <c r="H35" s="17">
        <f t="shared" ref="H35:V42" si="32">(H6-H8)/(2*$B$2)</f>
        <v>10</v>
      </c>
      <c r="I35" s="15">
        <f t="shared" si="32"/>
        <v>9.9405513341584513</v>
      </c>
      <c r="J35" s="15">
        <f t="shared" si="32"/>
        <v>9.8484709044234844</v>
      </c>
      <c r="K35" s="15">
        <f t="shared" si="32"/>
        <v>9.6709107671512271</v>
      </c>
      <c r="L35" s="15">
        <f t="shared" si="32"/>
        <v>9.3114995287878255</v>
      </c>
      <c r="M35" s="15">
        <f t="shared" si="31"/>
        <v>8.6488666801713254</v>
      </c>
      <c r="N35" s="15">
        <f t="shared" si="31"/>
        <v>7.9421328790714263</v>
      </c>
      <c r="O35" s="15">
        <f t="shared" si="32"/>
        <v>7.3069628187077207</v>
      </c>
      <c r="P35" s="15">
        <f t="shared" si="32"/>
        <v>6.7715309033848348</v>
      </c>
      <c r="Q35" s="15">
        <f t="shared" si="32"/>
        <v>6.3314886152605583</v>
      </c>
      <c r="R35" s="15">
        <f t="shared" si="32"/>
        <v>5.9719808906609728</v>
      </c>
      <c r="S35" s="15">
        <f t="shared" si="32"/>
        <v>5.6758628335152634</v>
      </c>
      <c r="T35" s="15">
        <f t="shared" si="32"/>
        <v>5.4257902449988871</v>
      </c>
      <c r="U35" s="15">
        <f t="shared" si="32"/>
        <v>5.2056030385657825</v>
      </c>
      <c r="V35" s="18">
        <f t="shared" si="32"/>
        <v>5</v>
      </c>
      <c r="W35" s="5"/>
    </row>
    <row r="36" spans="6:23" x14ac:dyDescent="0.25">
      <c r="G36" s="29">
        <f t="shared" si="29"/>
        <v>1.4</v>
      </c>
      <c r="H36" s="17">
        <f t="shared" si="32"/>
        <v>10</v>
      </c>
      <c r="I36" s="15">
        <f t="shared" si="32"/>
        <v>10.031665364483146</v>
      </c>
      <c r="J36" s="15">
        <f t="shared" si="32"/>
        <v>10.057880407141395</v>
      </c>
      <c r="K36" s="15">
        <f t="shared" si="32"/>
        <v>10.042101191377519</v>
      </c>
      <c r="L36" s="15">
        <f t="shared" si="32"/>
        <v>9.8224879582332747</v>
      </c>
      <c r="M36" s="15">
        <f t="shared" si="32"/>
        <v>8.7700859017366017</v>
      </c>
      <c r="N36" s="15">
        <f t="shared" si="31"/>
        <v>7.832294634357015</v>
      </c>
      <c r="O36" s="15">
        <f t="shared" si="31"/>
        <v>7.1054096228663832</v>
      </c>
      <c r="P36" s="15">
        <f t="shared" si="32"/>
        <v>6.552031512740319</v>
      </c>
      <c r="Q36" s="15">
        <f t="shared" si="32"/>
        <v>6.128980548477112</v>
      </c>
      <c r="R36" s="15">
        <f t="shared" si="32"/>
        <v>5.8027442407704077</v>
      </c>
      <c r="S36" s="15">
        <f t="shared" si="32"/>
        <v>5.5467714913549866</v>
      </c>
      <c r="T36" s="15">
        <f t="shared" si="32"/>
        <v>5.3394376179750003</v>
      </c>
      <c r="U36" s="15">
        <f t="shared" si="32"/>
        <v>5.1624371898800669</v>
      </c>
      <c r="V36" s="18">
        <f t="shared" si="32"/>
        <v>5</v>
      </c>
      <c r="W36" s="5"/>
    </row>
    <row r="37" spans="6:23" x14ac:dyDescent="0.25">
      <c r="G37" s="29">
        <f t="shared" si="29"/>
        <v>1.2</v>
      </c>
      <c r="H37" s="17">
        <f t="shared" si="32"/>
        <v>10</v>
      </c>
      <c r="I37" s="15">
        <f t="shared" si="32"/>
        <v>10.128458715299105</v>
      </c>
      <c r="J37" s="15">
        <f t="shared" si="32"/>
        <v>10.309763973051487</v>
      </c>
      <c r="K37" s="15">
        <f t="shared" si="32"/>
        <v>10.617788139650061</v>
      </c>
      <c r="L37" s="19">
        <f t="shared" si="32"/>
        <v>11.166921754793879</v>
      </c>
      <c r="M37" s="15">
        <f t="shared" si="32"/>
        <v>8.7763342217797433</v>
      </c>
      <c r="N37" s="15">
        <f t="shared" si="31"/>
        <v>7.5098219648347797</v>
      </c>
      <c r="O37" s="15">
        <f t="shared" si="31"/>
        <v>6.7273858772568147</v>
      </c>
      <c r="P37" s="15">
        <f t="shared" si="32"/>
        <v>6.1980436322451</v>
      </c>
      <c r="Q37" s="15">
        <f t="shared" si="32"/>
        <v>5.8250355961117624</v>
      </c>
      <c r="R37" s="15">
        <f t="shared" si="32"/>
        <v>5.5583899012719451</v>
      </c>
      <c r="S37" s="15">
        <f t="shared" si="32"/>
        <v>5.3648871985478896</v>
      </c>
      <c r="T37" s="15">
        <f t="shared" si="32"/>
        <v>5.2195326472913628</v>
      </c>
      <c r="U37" s="15">
        <f t="shared" si="32"/>
        <v>5.1030509380637978</v>
      </c>
      <c r="V37" s="18">
        <f t="shared" si="32"/>
        <v>5</v>
      </c>
      <c r="W37" s="5"/>
    </row>
    <row r="38" spans="6:23" x14ac:dyDescent="0.25">
      <c r="G38" s="29">
        <f t="shared" si="29"/>
        <v>1</v>
      </c>
      <c r="H38" s="13">
        <f>(H9-H10)/($B$2)</f>
        <v>10</v>
      </c>
      <c r="I38" s="13">
        <f t="shared" ref="I38:U43" si="33">(I9-I10)/($B$2)</f>
        <v>10.173114658659474</v>
      </c>
      <c r="J38" s="13">
        <f t="shared" si="33"/>
        <v>10.436411549629875</v>
      </c>
      <c r="K38" s="20">
        <f t="shared" si="33"/>
        <v>10.954995476003567</v>
      </c>
      <c r="L38" s="14">
        <f t="shared" si="33"/>
        <v>12.15141182483975</v>
      </c>
      <c r="M38" s="21">
        <f t="shared" si="32"/>
        <v>7.6614753140149014</v>
      </c>
      <c r="N38" s="15">
        <f>(N9-N11)/(2*$B$2)</f>
        <v>6.7049659180913572</v>
      </c>
      <c r="O38" s="15">
        <f t="shared" si="31"/>
        <v>6.0968232432435077</v>
      </c>
      <c r="P38" s="15">
        <f t="shared" si="31"/>
        <v>5.6872396163959298</v>
      </c>
      <c r="Q38" s="15">
        <f t="shared" si="32"/>
        <v>5.4134573546741693</v>
      </c>
      <c r="R38" s="15">
        <f t="shared" si="32"/>
        <v>5.2392832555741826</v>
      </c>
      <c r="S38" s="15">
        <f t="shared" si="32"/>
        <v>5.1331786748105275</v>
      </c>
      <c r="T38" s="15">
        <f t="shared" si="32"/>
        <v>5.0694682757323433</v>
      </c>
      <c r="U38" s="15">
        <f t="shared" si="32"/>
        <v>5.0294984419008077</v>
      </c>
      <c r="V38" s="18">
        <f t="shared" si="32"/>
        <v>5</v>
      </c>
      <c r="W38" s="5"/>
    </row>
    <row r="39" spans="6:23" x14ac:dyDescent="0.25">
      <c r="G39" s="29">
        <f t="shared" si="29"/>
        <v>0.8</v>
      </c>
      <c r="H39" s="4"/>
      <c r="I39" s="4"/>
      <c r="J39" s="4"/>
      <c r="K39" s="4"/>
      <c r="L39" s="22"/>
      <c r="M39" s="14">
        <f t="shared" si="33"/>
        <v>6.6073593302220717</v>
      </c>
      <c r="N39" s="15">
        <f t="shared" ref="N39" si="34">(N10-N12)/(2*$B$2)</f>
        <v>5.5565815885009773</v>
      </c>
      <c r="O39" s="15">
        <f t="shared" si="31"/>
        <v>5.2714731721472461</v>
      </c>
      <c r="P39" s="15">
        <f t="shared" si="31"/>
        <v>5.043618310890996</v>
      </c>
      <c r="Q39" s="15">
        <f t="shared" si="32"/>
        <v>4.9043496789638983</v>
      </c>
      <c r="R39" s="15">
        <f t="shared" si="32"/>
        <v>4.8535944301069316</v>
      </c>
      <c r="S39" s="15">
        <f t="shared" si="32"/>
        <v>4.8600152360226945</v>
      </c>
      <c r="T39" s="15">
        <f t="shared" si="32"/>
        <v>4.8962466210105458</v>
      </c>
      <c r="U39" s="15">
        <f t="shared" si="32"/>
        <v>4.9457369422261817</v>
      </c>
      <c r="V39" s="18">
        <f t="shared" si="32"/>
        <v>5</v>
      </c>
      <c r="W39" s="5"/>
    </row>
    <row r="40" spans="6:23" x14ac:dyDescent="0.25">
      <c r="G40" s="29">
        <f t="shared" si="29"/>
        <v>0.60000000000000009</v>
      </c>
      <c r="H40" s="4"/>
      <c r="I40" s="4"/>
      <c r="J40" s="4"/>
      <c r="K40" s="4"/>
      <c r="L40" s="4"/>
      <c r="M40" s="22"/>
      <c r="N40" s="14">
        <f t="shared" si="33"/>
        <v>4.973998241269399</v>
      </c>
      <c r="O40" s="15">
        <f t="shared" si="31"/>
        <v>4.3952759775784429</v>
      </c>
      <c r="P40" s="15">
        <f t="shared" si="31"/>
        <v>4.3169124180184903</v>
      </c>
      <c r="Q40" s="15">
        <f t="shared" si="32"/>
        <v>4.3116752239552429</v>
      </c>
      <c r="R40" s="15">
        <f t="shared" si="32"/>
        <v>4.4147377107124397</v>
      </c>
      <c r="S40" s="15">
        <f t="shared" si="32"/>
        <v>4.5603270680430983</v>
      </c>
      <c r="T40" s="15">
        <f t="shared" si="32"/>
        <v>4.7119747149609248</v>
      </c>
      <c r="U40" s="15">
        <f t="shared" si="32"/>
        <v>4.8583828344832343</v>
      </c>
      <c r="V40" s="18">
        <f t="shared" si="32"/>
        <v>5</v>
      </c>
      <c r="W40" s="5"/>
    </row>
    <row r="41" spans="6:23" x14ac:dyDescent="0.25">
      <c r="G41" s="29">
        <f t="shared" si="29"/>
        <v>0.4</v>
      </c>
      <c r="H41" s="4"/>
      <c r="I41" s="4"/>
      <c r="J41" s="4"/>
      <c r="K41" s="4"/>
      <c r="L41" s="4"/>
      <c r="M41" s="4"/>
      <c r="N41" s="22"/>
      <c r="O41" s="14">
        <f t="shared" si="33"/>
        <v>3.9578159862172968</v>
      </c>
      <c r="P41" s="15">
        <f t="shared" si="31"/>
        <v>3.5243122989315605</v>
      </c>
      <c r="Q41" s="15">
        <f t="shared" si="32"/>
        <v>3.617135860513113</v>
      </c>
      <c r="R41" s="15">
        <f t="shared" si="32"/>
        <v>3.9393490772436288</v>
      </c>
      <c r="S41" s="15">
        <f t="shared" si="32"/>
        <v>4.2593972927051471</v>
      </c>
      <c r="T41" s="15">
        <f t="shared" si="32"/>
        <v>4.5365531217322008</v>
      </c>
      <c r="U41" s="15">
        <f t="shared" si="32"/>
        <v>4.7776488526779222</v>
      </c>
      <c r="V41" s="18">
        <f t="shared" si="32"/>
        <v>5</v>
      </c>
      <c r="W41" s="5"/>
    </row>
    <row r="42" spans="6:23" x14ac:dyDescent="0.25">
      <c r="G42" s="29">
        <f>G43+B$2</f>
        <v>0.2</v>
      </c>
      <c r="H42" s="4"/>
      <c r="I42" s="4"/>
      <c r="J42" s="4"/>
      <c r="K42" s="4"/>
      <c r="L42" s="4"/>
      <c r="M42" s="4"/>
      <c r="N42" s="4"/>
      <c r="O42" s="22"/>
      <c r="P42" s="14">
        <f t="shared" si="33"/>
        <v>3.110546169329294</v>
      </c>
      <c r="Q42" s="15">
        <f t="shared" si="32"/>
        <v>2.7002644323519185</v>
      </c>
      <c r="R42" s="15">
        <f t="shared" si="32"/>
        <v>3.4727123072191515</v>
      </c>
      <c r="S42" s="15">
        <f t="shared" si="32"/>
        <v>4.0073563102618657</v>
      </c>
      <c r="T42" s="15">
        <f t="shared" si="32"/>
        <v>4.4014960728343837</v>
      </c>
      <c r="U42" s="15">
        <f t="shared" si="32"/>
        <v>4.7180417389083917</v>
      </c>
      <c r="V42" s="18">
        <f t="shared" si="32"/>
        <v>5</v>
      </c>
      <c r="W42" s="5"/>
    </row>
    <row r="43" spans="6:23" x14ac:dyDescent="0.25">
      <c r="G43" s="29">
        <v>0</v>
      </c>
      <c r="H43" s="4"/>
      <c r="I43" s="4"/>
      <c r="J43" s="4"/>
      <c r="K43" s="4"/>
      <c r="L43" s="4"/>
      <c r="M43" s="4"/>
      <c r="N43" s="4"/>
      <c r="O43" s="4"/>
      <c r="P43" s="22"/>
      <c r="Q43" s="16">
        <f t="shared" si="33"/>
        <v>2.1615878317338133</v>
      </c>
      <c r="R43" s="39">
        <f t="shared" si="33"/>
        <v>3.2506612965464612</v>
      </c>
      <c r="S43" s="39">
        <f t="shared" si="33"/>
        <v>3.9019658760691942</v>
      </c>
      <c r="T43" s="39">
        <f t="shared" si="33"/>
        <v>4.3489248620398655</v>
      </c>
      <c r="U43" s="39">
        <f t="shared" si="33"/>
        <v>4.6955711447899686</v>
      </c>
      <c r="V43" s="16">
        <f>(V14-V15)/($B$2)</f>
        <v>5</v>
      </c>
      <c r="W43" s="5"/>
    </row>
    <row r="44" spans="6:23" x14ac:dyDescent="0.25">
      <c r="G44" s="4"/>
      <c r="H44" s="29">
        <v>0</v>
      </c>
      <c r="I44" s="29">
        <f>H44+$B$2</f>
        <v>0.2</v>
      </c>
      <c r="J44" s="29">
        <f t="shared" ref="J44:V44" si="35">I44+$B$2</f>
        <v>0.4</v>
      </c>
      <c r="K44" s="29">
        <f t="shared" si="35"/>
        <v>0.60000000000000009</v>
      </c>
      <c r="L44" s="29">
        <f t="shared" si="35"/>
        <v>0.8</v>
      </c>
      <c r="M44" s="29">
        <f t="shared" si="35"/>
        <v>1</v>
      </c>
      <c r="N44" s="29">
        <f t="shared" si="35"/>
        <v>1.2</v>
      </c>
      <c r="O44" s="29">
        <f t="shared" si="35"/>
        <v>1.4</v>
      </c>
      <c r="P44" s="29">
        <f t="shared" si="35"/>
        <v>1.5999999999999999</v>
      </c>
      <c r="Q44" s="29">
        <f t="shared" si="35"/>
        <v>1.7999999999999998</v>
      </c>
      <c r="R44" s="29">
        <f t="shared" si="35"/>
        <v>1.9999999999999998</v>
      </c>
      <c r="S44" s="29">
        <f t="shared" si="35"/>
        <v>2.1999999999999997</v>
      </c>
      <c r="T44" s="29">
        <f t="shared" si="35"/>
        <v>2.4</v>
      </c>
      <c r="U44" s="29">
        <f t="shared" si="35"/>
        <v>2.6</v>
      </c>
      <c r="V44" s="29">
        <f t="shared" si="35"/>
        <v>2.8000000000000003</v>
      </c>
      <c r="W44" s="5"/>
    </row>
    <row r="45" spans="6:23" x14ac:dyDescent="0.25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6:23" x14ac:dyDescent="0.25">
      <c r="F46" s="37" t="s">
        <v>10</v>
      </c>
      <c r="G46" s="4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</row>
    <row r="47" spans="6:23" x14ac:dyDescent="0.25">
      <c r="G47" s="29">
        <f t="shared" ref="G47:G55" si="36">G48+B$2</f>
        <v>1.9999999999999998</v>
      </c>
      <c r="H47" s="13">
        <f>(H5-I5)/$B$2</f>
        <v>0</v>
      </c>
      <c r="I47" s="13">
        <f>(I5-K5)/$B$2</f>
        <v>0</v>
      </c>
      <c r="J47" s="13">
        <f t="shared" ref="J47:T47" si="37">(J5-L5)/$B$2</f>
        <v>0</v>
      </c>
      <c r="K47" s="13">
        <f t="shared" si="37"/>
        <v>0</v>
      </c>
      <c r="L47" s="13">
        <f t="shared" si="37"/>
        <v>0</v>
      </c>
      <c r="M47" s="13">
        <f t="shared" si="37"/>
        <v>0</v>
      </c>
      <c r="N47" s="13">
        <f t="shared" si="37"/>
        <v>0</v>
      </c>
      <c r="O47" s="13">
        <f t="shared" si="37"/>
        <v>0</v>
      </c>
      <c r="P47" s="13">
        <f t="shared" si="37"/>
        <v>0</v>
      </c>
      <c r="Q47" s="13">
        <f t="shared" si="37"/>
        <v>0</v>
      </c>
      <c r="R47" s="13">
        <f t="shared" si="37"/>
        <v>0</v>
      </c>
      <c r="S47" s="13">
        <f t="shared" si="37"/>
        <v>0</v>
      </c>
      <c r="T47" s="13">
        <f t="shared" si="37"/>
        <v>0</v>
      </c>
      <c r="U47" s="13">
        <f>(U5-V5)/$B$2</f>
        <v>0</v>
      </c>
      <c r="V47" s="13">
        <f>(V5-U5)/$B$2</f>
        <v>0</v>
      </c>
    </row>
    <row r="48" spans="6:23" x14ac:dyDescent="0.25">
      <c r="G48" s="29">
        <f t="shared" si="36"/>
        <v>1.7999999999999998</v>
      </c>
      <c r="H48" s="17">
        <f t="shared" ref="H48:K52" si="38">(H6-I6)/$B$2</f>
        <v>-0.13802009891511702</v>
      </c>
      <c r="I48" s="15">
        <f>(H6-J6)/(2*$B$2)</f>
        <v>-0.158234877474972</v>
      </c>
      <c r="J48" s="15">
        <f t="shared" ref="J48:U48" si="39">(I6-K6)/(2*$B$2)</f>
        <v>-0.21968885734373167</v>
      </c>
      <c r="K48" s="15">
        <f t="shared" si="39"/>
        <v>-0.32018640610673277</v>
      </c>
      <c r="L48" s="15">
        <f t="shared" si="39"/>
        <v>-0.44018166026081662</v>
      </c>
      <c r="M48" s="15">
        <f t="shared" si="39"/>
        <v>-0.5301151488254785</v>
      </c>
      <c r="N48" s="15">
        <f t="shared" si="39"/>
        <v>-0.55584929415832374</v>
      </c>
      <c r="O48" s="15">
        <f t="shared" si="39"/>
        <v>-0.52896871304530801</v>
      </c>
      <c r="P48" s="15">
        <f t="shared" si="39"/>
        <v>-0.47407380549580935</v>
      </c>
      <c r="Q48" s="15">
        <f t="shared" si="39"/>
        <v>-0.41113980210421897</v>
      </c>
      <c r="R48" s="15">
        <f t="shared" si="39"/>
        <v>-0.35234183210935299</v>
      </c>
      <c r="S48" s="15">
        <f t="shared" si="39"/>
        <v>-0.30394011849621982</v>
      </c>
      <c r="T48" s="15">
        <f t="shared" si="39"/>
        <v>-0.26867984510307696</v>
      </c>
      <c r="U48" s="15">
        <f t="shared" si="39"/>
        <v>-0.24741493394706993</v>
      </c>
      <c r="V48" s="15">
        <f>(U6-V6)/($B$2)</f>
        <v>-0.24034931214266031</v>
      </c>
    </row>
    <row r="49" spans="6:23" x14ac:dyDescent="0.25">
      <c r="G49" s="29">
        <f t="shared" si="36"/>
        <v>1.5999999999999999</v>
      </c>
      <c r="H49" s="17">
        <f t="shared" si="38"/>
        <v>-0.23644538762576772</v>
      </c>
      <c r="I49" s="15">
        <f t="shared" ref="I49:U56" si="40">(H7-J7)/(2*$B$2)</f>
        <v>-0.27608618195633206</v>
      </c>
      <c r="J49" s="15">
        <f t="shared" si="40"/>
        <v>-0.40137623556641966</v>
      </c>
      <c r="K49" s="15">
        <f t="shared" si="40"/>
        <v>-0.62210768869681798</v>
      </c>
      <c r="L49" s="15">
        <f t="shared" si="40"/>
        <v>-0.911962286372201</v>
      </c>
      <c r="M49" s="15">
        <f t="shared" si="40"/>
        <v>-1.126065802429923</v>
      </c>
      <c r="N49" s="15">
        <f t="shared" si="40"/>
        <v>-1.1659476279368297</v>
      </c>
      <c r="O49" s="15">
        <f t="shared" si="40"/>
        <v>-1.0871969587363139</v>
      </c>
      <c r="P49" s="15">
        <f t="shared" si="40"/>
        <v>-0.95686871577010946</v>
      </c>
      <c r="Q49" s="15">
        <f t="shared" si="40"/>
        <v>-0.81802088245679583</v>
      </c>
      <c r="R49" s="15">
        <f t="shared" si="40"/>
        <v>-0.69325598501203567</v>
      </c>
      <c r="S49" s="15">
        <f t="shared" si="40"/>
        <v>-0.59289916722647051</v>
      </c>
      <c r="T49" s="15">
        <f t="shared" si="40"/>
        <v>-0.52072666070202223</v>
      </c>
      <c r="U49" s="15">
        <f t="shared" si="40"/>
        <v>-0.47762331849734663</v>
      </c>
      <c r="V49" s="15">
        <f t="shared" ref="V49:V57" si="41">(U7-V7)/($B$2)</f>
        <v>-0.46327958965499683</v>
      </c>
    </row>
    <row r="50" spans="6:23" x14ac:dyDescent="0.25">
      <c r="G50" s="29">
        <f t="shared" si="36"/>
        <v>1.4</v>
      </c>
      <c r="H50" s="17">
        <f t="shared" si="38"/>
        <v>-0.25691743059821359</v>
      </c>
      <c r="I50" s="15">
        <f t="shared" si="40"/>
        <v>-0.30976397305148673</v>
      </c>
      <c r="J50" s="15">
        <f t="shared" si="40"/>
        <v>-0.48932942435095494</v>
      </c>
      <c r="K50" s="15">
        <f t="shared" si="40"/>
        <v>-0.85715778174239254</v>
      </c>
      <c r="L50" s="15">
        <f t="shared" si="40"/>
        <v>-1.4622257472407196</v>
      </c>
      <c r="M50" s="15">
        <f t="shared" si="40"/>
        <v>-1.8994817985418777</v>
      </c>
      <c r="N50" s="15">
        <f t="shared" si="40"/>
        <v>-1.8977531556219285</v>
      </c>
      <c r="O50" s="15">
        <f t="shared" si="40"/>
        <v>-1.6995706887318995</v>
      </c>
      <c r="P50" s="15">
        <f t="shared" si="40"/>
        <v>-1.4495480089429713</v>
      </c>
      <c r="Q50" s="15">
        <f t="shared" si="40"/>
        <v>-1.2106898148280809</v>
      </c>
      <c r="R50" s="15">
        <f t="shared" si="40"/>
        <v>-1.0079676138546478</v>
      </c>
      <c r="S50" s="15">
        <f t="shared" si="40"/>
        <v>-0.85013076415830557</v>
      </c>
      <c r="T50" s="15">
        <f t="shared" si="40"/>
        <v>-0.7389396400525583</v>
      </c>
      <c r="U50" s="15">
        <f t="shared" si="40"/>
        <v>-0.67320517894595699</v>
      </c>
      <c r="V50" s="15">
        <f t="shared" si="41"/>
        <v>-0.6515553892742254</v>
      </c>
    </row>
    <row r="51" spans="6:23" x14ac:dyDescent="0.25">
      <c r="G51" s="29">
        <f t="shared" si="36"/>
        <v>1.2</v>
      </c>
      <c r="H51" s="17">
        <f t="shared" si="38"/>
        <v>-0.17311465865947451</v>
      </c>
      <c r="I51" s="15">
        <f t="shared" si="40"/>
        <v>-0.21820577481493797</v>
      </c>
      <c r="J51" s="15">
        <f t="shared" si="40"/>
        <v>-0.39094040867204694</v>
      </c>
      <c r="K51" s="15">
        <f t="shared" si="40"/>
        <v>-0.85750013760493737</v>
      </c>
      <c r="L51" s="15">
        <f t="shared" si="40"/>
        <v>-2.1839775760131173</v>
      </c>
      <c r="M51" s="15">
        <f t="shared" si="40"/>
        <v>-3.1162591263061823</v>
      </c>
      <c r="N51" s="15">
        <f t="shared" si="40"/>
        <v>-2.8306239068070491</v>
      </c>
      <c r="O51" s="15">
        <f t="shared" si="40"/>
        <v>-2.3674600803530099</v>
      </c>
      <c r="P51" s="15">
        <f t="shared" si="40"/>
        <v>-1.9332977901593806</v>
      </c>
      <c r="Q51" s="15">
        <f t="shared" si="40"/>
        <v>-1.5673081544267076</v>
      </c>
      <c r="R51" s="15">
        <f t="shared" si="40"/>
        <v>-1.2754650421341607</v>
      </c>
      <c r="S51" s="15">
        <f t="shared" si="40"/>
        <v>-1.056205790021878</v>
      </c>
      <c r="T51" s="15">
        <f t="shared" si="40"/>
        <v>-0.90506096217694232</v>
      </c>
      <c r="U51" s="15">
        <f t="shared" si="40"/>
        <v>-0.8170609364723469</v>
      </c>
      <c r="V51" s="15">
        <f t="shared" si="41"/>
        <v>-0.78815396941513072</v>
      </c>
    </row>
    <row r="52" spans="6:23" x14ac:dyDescent="0.25">
      <c r="G52" s="29">
        <f t="shared" si="36"/>
        <v>1</v>
      </c>
      <c r="H52" s="13">
        <f t="shared" si="38"/>
        <v>0</v>
      </c>
      <c r="I52" s="13">
        <f t="shared" si="38"/>
        <v>0</v>
      </c>
      <c r="J52" s="13">
        <f t="shared" si="38"/>
        <v>0</v>
      </c>
      <c r="K52" s="13">
        <f t="shared" si="38"/>
        <v>0</v>
      </c>
      <c r="L52" s="13">
        <f>(L10-M10)/(2*$B$2)</f>
        <v>-3.3036796651110358</v>
      </c>
      <c r="M52" s="15">
        <f t="shared" si="40"/>
        <v>-5.5565815885009773</v>
      </c>
      <c r="N52" s="15">
        <f t="shared" si="40"/>
        <v>-3.9467015001448584</v>
      </c>
      <c r="O52" s="15">
        <f t="shared" si="40"/>
        <v>-3.0113490213215788</v>
      </c>
      <c r="P52" s="15">
        <f t="shared" si="40"/>
        <v>-2.3518982900880236</v>
      </c>
      <c r="Q52" s="15">
        <f t="shared" si="40"/>
        <v>-1.8503435458012363</v>
      </c>
      <c r="R52" s="15">
        <f t="shared" si="40"/>
        <v>-1.468116011418521</v>
      </c>
      <c r="S52" s="15">
        <f t="shared" si="40"/>
        <v>-1.1889880181388879</v>
      </c>
      <c r="T52" s="15">
        <f t="shared" si="40"/>
        <v>-1.0007759005366501</v>
      </c>
      <c r="U52" s="15">
        <f t="shared" si="40"/>
        <v>-0.89273782623731979</v>
      </c>
      <c r="V52" s="15">
        <f t="shared" si="41"/>
        <v>-0.85765726540182108</v>
      </c>
    </row>
    <row r="53" spans="6:23" x14ac:dyDescent="0.25">
      <c r="G53" s="29">
        <f t="shared" si="36"/>
        <v>0.8</v>
      </c>
      <c r="H53" s="4"/>
      <c r="I53" s="4"/>
      <c r="J53" s="4"/>
      <c r="K53" s="4"/>
      <c r="L53" s="22"/>
      <c r="M53" s="14">
        <f>(M11-N11)/($B$2)</f>
        <v>-4.973998241269399</v>
      </c>
      <c r="N53" s="15">
        <f t="shared" si="40"/>
        <v>-4.3952759775784429</v>
      </c>
      <c r="O53" s="15">
        <f t="shared" si="40"/>
        <v>-3.3851863820484374</v>
      </c>
      <c r="P53" s="15">
        <f t="shared" si="40"/>
        <v>-2.6166636787287194</v>
      </c>
      <c r="Q53" s="15">
        <f t="shared" si="40"/>
        <v>-2.0152645152484547</v>
      </c>
      <c r="R53" s="15">
        <f t="shared" si="40"/>
        <v>-1.5557437219978021</v>
      </c>
      <c r="S53" s="15">
        <f t="shared" si="40"/>
        <v>-1.2260207698637171</v>
      </c>
      <c r="T53" s="15">
        <f t="shared" si="40"/>
        <v>-1.008741195086662</v>
      </c>
      <c r="U53" s="15">
        <f t="shared" si="40"/>
        <v>-0.88652921220469083</v>
      </c>
      <c r="V53" s="15">
        <f t="shared" si="41"/>
        <v>-0.8471508532167471</v>
      </c>
    </row>
    <row r="54" spans="6:23" x14ac:dyDescent="0.25">
      <c r="G54" s="29">
        <f t="shared" si="36"/>
        <v>0.60000000000000009</v>
      </c>
      <c r="H54" s="4"/>
      <c r="I54" s="4"/>
      <c r="J54" s="4"/>
      <c r="K54" s="4"/>
      <c r="L54" s="4"/>
      <c r="M54" s="23"/>
      <c r="N54" s="14">
        <f>(N12-O12)/($B$2)</f>
        <v>-3.9578159862172968</v>
      </c>
      <c r="O54" s="15">
        <f t="shared" si="40"/>
        <v>-3.5243122989315605</v>
      </c>
      <c r="P54" s="15">
        <f t="shared" si="40"/>
        <v>-2.7190217832713715</v>
      </c>
      <c r="Q54" s="15">
        <f t="shared" si="40"/>
        <v>-2.0403674265852993</v>
      </c>
      <c r="R54" s="15">
        <f t="shared" si="40"/>
        <v>-1.512450454359725</v>
      </c>
      <c r="S54" s="15">
        <f t="shared" si="40"/>
        <v>-1.1463358272352742</v>
      </c>
      <c r="T54" s="15">
        <f t="shared" si="40"/>
        <v>-0.91505419433316249</v>
      </c>
      <c r="U54" s="15">
        <f t="shared" si="40"/>
        <v>-0.78898444724786576</v>
      </c>
      <c r="V54" s="15">
        <f t="shared" si="41"/>
        <v>-0.74913114985418527</v>
      </c>
    </row>
    <row r="55" spans="6:23" x14ac:dyDescent="0.25">
      <c r="G55" s="29">
        <f t="shared" si="36"/>
        <v>0.4</v>
      </c>
      <c r="H55" s="4"/>
      <c r="I55" s="4"/>
      <c r="J55" s="4"/>
      <c r="K55" s="4"/>
      <c r="L55" s="4"/>
      <c r="M55" s="4"/>
      <c r="N55" s="23"/>
      <c r="O55" s="14">
        <f>(O13-P13)/($B$2)</f>
        <v>-3.110546169329294</v>
      </c>
      <c r="P55" s="19">
        <f t="shared" si="40"/>
        <v>-2.7002644323519185</v>
      </c>
      <c r="Q55" s="15">
        <f t="shared" si="40"/>
        <v>-1.9174392225545047</v>
      </c>
      <c r="R55" s="15">
        <f t="shared" si="40"/>
        <v>-1.3070918779099472</v>
      </c>
      <c r="S55" s="15">
        <f t="shared" si="40"/>
        <v>-0.92878376561523257</v>
      </c>
      <c r="T55" s="15">
        <f t="shared" si="40"/>
        <v>-0.7106854286465264</v>
      </c>
      <c r="U55" s="15">
        <f t="shared" si="40"/>
        <v>-0.59850392716561562</v>
      </c>
      <c r="V55" s="15">
        <f t="shared" si="41"/>
        <v>-0.56391652218321542</v>
      </c>
    </row>
    <row r="56" spans="6:23" x14ac:dyDescent="0.25">
      <c r="G56" s="29">
        <f>G57+B$2</f>
        <v>0.2</v>
      </c>
      <c r="H56" s="4"/>
      <c r="I56" s="4"/>
      <c r="J56" s="4"/>
      <c r="K56" s="4"/>
      <c r="L56" s="4"/>
      <c r="M56" s="4"/>
      <c r="N56" s="4"/>
      <c r="O56" s="23"/>
      <c r="P56" s="14">
        <f>(P14-Q14)/($B$2)</f>
        <v>-2.1615878317338133</v>
      </c>
      <c r="Q56" s="24">
        <f t="shared" si="40"/>
        <v>-1.6253306482732306</v>
      </c>
      <c r="R56" s="15">
        <f t="shared" si="40"/>
        <v>-0.87018902216769056</v>
      </c>
      <c r="S56" s="15">
        <f t="shared" si="40"/>
        <v>-0.54913178274670205</v>
      </c>
      <c r="T56" s="15">
        <f t="shared" si="40"/>
        <v>-0.39680263436038726</v>
      </c>
      <c r="U56" s="15">
        <f t="shared" si="40"/>
        <v>-0.32553756898006714</v>
      </c>
      <c r="V56" s="15">
        <f t="shared" si="41"/>
        <v>-0.30442885521003105</v>
      </c>
    </row>
    <row r="57" spans="6:23" x14ac:dyDescent="0.25">
      <c r="G57" s="29">
        <v>0</v>
      </c>
      <c r="H57" s="4"/>
      <c r="I57" s="4"/>
      <c r="J57" s="4"/>
      <c r="K57" s="4"/>
      <c r="L57" s="4"/>
      <c r="M57" s="4"/>
      <c r="N57" s="4"/>
      <c r="O57" s="4"/>
      <c r="P57" s="22"/>
      <c r="Q57" s="16">
        <f>(Q15-R15)/($B$2)</f>
        <v>0</v>
      </c>
      <c r="R57" s="39">
        <f t="shared" ref="R57:U57" si="42">(R15-S15)/($B$2)</f>
        <v>0</v>
      </c>
      <c r="S57" s="16">
        <f t="shared" si="42"/>
        <v>0</v>
      </c>
      <c r="T57" s="16">
        <f t="shared" si="42"/>
        <v>0</v>
      </c>
      <c r="U57" s="16">
        <f t="shared" si="42"/>
        <v>0</v>
      </c>
      <c r="V57" s="16">
        <f t="shared" si="41"/>
        <v>0</v>
      </c>
    </row>
    <row r="58" spans="6:23" x14ac:dyDescent="0.25">
      <c r="G58" s="4"/>
      <c r="H58" s="29">
        <v>0</v>
      </c>
      <c r="I58" s="29">
        <f>H58+$B$2</f>
        <v>0.2</v>
      </c>
      <c r="J58" s="29">
        <f t="shared" ref="J58:V58" si="43">I58+$B$2</f>
        <v>0.4</v>
      </c>
      <c r="K58" s="29">
        <f t="shared" si="43"/>
        <v>0.60000000000000009</v>
      </c>
      <c r="L58" s="29">
        <f t="shared" si="43"/>
        <v>0.8</v>
      </c>
      <c r="M58" s="29">
        <f t="shared" si="43"/>
        <v>1</v>
      </c>
      <c r="N58" s="29">
        <f t="shared" si="43"/>
        <v>1.2</v>
      </c>
      <c r="O58" s="29">
        <f t="shared" si="43"/>
        <v>1.4</v>
      </c>
      <c r="P58" s="29">
        <f t="shared" si="43"/>
        <v>1.5999999999999999</v>
      </c>
      <c r="Q58" s="29">
        <f t="shared" si="43"/>
        <v>1.7999999999999998</v>
      </c>
      <c r="R58" s="29">
        <f t="shared" si="43"/>
        <v>1.9999999999999998</v>
      </c>
      <c r="S58" s="29">
        <f t="shared" si="43"/>
        <v>2.1999999999999997</v>
      </c>
      <c r="T58" s="29">
        <f t="shared" si="43"/>
        <v>2.4</v>
      </c>
      <c r="U58" s="29">
        <f t="shared" si="43"/>
        <v>2.6</v>
      </c>
      <c r="V58" s="29">
        <f t="shared" si="43"/>
        <v>2.8000000000000003</v>
      </c>
    </row>
    <row r="59" spans="6:23" x14ac:dyDescent="0.25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6:23" ht="45" x14ac:dyDescent="0.25">
      <c r="F60" s="44" t="s">
        <v>19</v>
      </c>
      <c r="G60" s="4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</row>
    <row r="61" spans="6:23" x14ac:dyDescent="0.25">
      <c r="G61" s="29">
        <f t="shared" ref="G61:G69" si="44">G62+B$2</f>
        <v>1.9999999999999998</v>
      </c>
      <c r="H61" s="13">
        <f>(H33^2+H47^2)^0.5</f>
        <v>10</v>
      </c>
      <c r="I61" s="13">
        <f t="shared" ref="I61:V61" si="45">(I33^2+I47^2)^0.5</f>
        <v>9.861979901084883</v>
      </c>
      <c r="J61" s="13">
        <f t="shared" si="45"/>
        <v>9.683530245050056</v>
      </c>
      <c r="K61" s="13">
        <f t="shared" si="45"/>
        <v>9.4226021863974196</v>
      </c>
      <c r="L61" s="13">
        <f t="shared" si="45"/>
        <v>9.0431574328365905</v>
      </c>
      <c r="M61" s="13">
        <f t="shared" si="45"/>
        <v>8.5422388658757864</v>
      </c>
      <c r="N61" s="13">
        <f t="shared" si="45"/>
        <v>7.9829271351856335</v>
      </c>
      <c r="O61" s="13">
        <f t="shared" si="45"/>
        <v>7.4305402775591389</v>
      </c>
      <c r="P61" s="13">
        <f t="shared" si="45"/>
        <v>6.9249897090950174</v>
      </c>
      <c r="Q61" s="13">
        <f t="shared" si="45"/>
        <v>6.4823926665675202</v>
      </c>
      <c r="R61" s="13">
        <f t="shared" si="45"/>
        <v>6.1027101048865795</v>
      </c>
      <c r="S61" s="13">
        <f t="shared" si="45"/>
        <v>5.7777090023488142</v>
      </c>
      <c r="T61" s="13">
        <f t="shared" si="45"/>
        <v>5.4948298678941399</v>
      </c>
      <c r="U61" s="13">
        <f t="shared" si="45"/>
        <v>5.2403493121426603</v>
      </c>
      <c r="V61" s="13">
        <f t="shared" si="45"/>
        <v>5</v>
      </c>
    </row>
    <row r="62" spans="6:23" x14ac:dyDescent="0.25">
      <c r="G62" s="29">
        <f t="shared" si="44"/>
        <v>1.7999999999999998</v>
      </c>
      <c r="H62" s="17">
        <f t="shared" ref="H62:V71" si="46">(H34^2+H48^2)^0.5</f>
        <v>10.000952432028889</v>
      </c>
      <c r="I62" s="17">
        <f t="shared" si="46"/>
        <v>9.8830441163400771</v>
      </c>
      <c r="J62" s="17">
        <f t="shared" si="46"/>
        <v>9.7263951767744654</v>
      </c>
      <c r="K62" s="17">
        <f t="shared" si="46"/>
        <v>9.485806438805378</v>
      </c>
      <c r="L62" s="17">
        <f t="shared" si="46"/>
        <v>9.1124439482635964</v>
      </c>
      <c r="M62" s="17">
        <f t="shared" si="46"/>
        <v>8.5848217960787103</v>
      </c>
      <c r="N62" s="17">
        <f t="shared" si="46"/>
        <v>7.9950861283806836</v>
      </c>
      <c r="O62" s="17">
        <f t="shared" si="46"/>
        <v>7.4213666678485319</v>
      </c>
      <c r="P62" s="17">
        <f t="shared" si="46"/>
        <v>6.9048371239561019</v>
      </c>
      <c r="Q62" s="17">
        <f t="shared" si="46"/>
        <v>6.458721590445526</v>
      </c>
      <c r="R62" s="17">
        <f t="shared" si="46"/>
        <v>6.0807391011564249</v>
      </c>
      <c r="S62" s="17">
        <f t="shared" si="46"/>
        <v>5.7603905626556919</v>
      </c>
      <c r="T62" s="17">
        <f t="shared" si="46"/>
        <v>5.484208792388424</v>
      </c>
      <c r="U62" s="17">
        <f t="shared" si="46"/>
        <v>5.2374869061757794</v>
      </c>
      <c r="V62" s="17">
        <f t="shared" si="46"/>
        <v>5.0057734459169696</v>
      </c>
    </row>
    <row r="63" spans="6:23" x14ac:dyDescent="0.25">
      <c r="G63" s="29">
        <f t="shared" si="44"/>
        <v>1.5999999999999999</v>
      </c>
      <c r="H63" s="17">
        <f t="shared" si="46"/>
        <v>10.002794930484654</v>
      </c>
      <c r="I63" s="17">
        <f t="shared" si="46"/>
        <v>9.9443845665232899</v>
      </c>
      <c r="J63" s="17">
        <f t="shared" si="46"/>
        <v>9.8566465919070776</v>
      </c>
      <c r="K63" s="17">
        <f t="shared" si="46"/>
        <v>9.690899496049747</v>
      </c>
      <c r="L63" s="17">
        <f t="shared" si="46"/>
        <v>9.3560514473992242</v>
      </c>
      <c r="M63" s="17">
        <f t="shared" si="46"/>
        <v>8.7218644246961272</v>
      </c>
      <c r="N63" s="17">
        <f t="shared" si="46"/>
        <v>8.0272603383669381</v>
      </c>
      <c r="O63" s="17">
        <f t="shared" si="46"/>
        <v>7.3874016312274886</v>
      </c>
      <c r="P63" s="17">
        <f t="shared" si="46"/>
        <v>6.8388031492882853</v>
      </c>
      <c r="Q63" s="17">
        <f t="shared" si="46"/>
        <v>6.3841135836785874</v>
      </c>
      <c r="R63" s="17">
        <f t="shared" si="46"/>
        <v>6.0120844654058905</v>
      </c>
      <c r="S63" s="17">
        <f t="shared" si="46"/>
        <v>5.7067458614676161</v>
      </c>
      <c r="T63" s="17">
        <f t="shared" si="46"/>
        <v>5.450720689770387</v>
      </c>
      <c r="U63" s="17">
        <f t="shared" si="46"/>
        <v>5.2274685106175172</v>
      </c>
      <c r="V63" s="17">
        <f t="shared" si="46"/>
        <v>5.0214169293328847</v>
      </c>
    </row>
    <row r="64" spans="6:23" x14ac:dyDescent="0.25">
      <c r="G64" s="29">
        <f t="shared" si="44"/>
        <v>1.4</v>
      </c>
      <c r="H64" s="17">
        <f t="shared" si="46"/>
        <v>10.003299783878576</v>
      </c>
      <c r="I64" s="17">
        <f t="shared" si="46"/>
        <v>10.036446766857852</v>
      </c>
      <c r="J64" s="17">
        <f t="shared" si="46"/>
        <v>10.06977663952356</v>
      </c>
      <c r="K64" s="17">
        <f t="shared" si="46"/>
        <v>10.078616760283492</v>
      </c>
      <c r="L64" s="17">
        <f t="shared" si="46"/>
        <v>9.9307287660841581</v>
      </c>
      <c r="M64" s="17">
        <f t="shared" si="46"/>
        <v>8.9734295465463472</v>
      </c>
      <c r="N64" s="17">
        <f t="shared" si="46"/>
        <v>8.0589271171199126</v>
      </c>
      <c r="O64" s="17">
        <f t="shared" si="46"/>
        <v>7.3058460451010614</v>
      </c>
      <c r="P64" s="17">
        <f t="shared" si="46"/>
        <v>6.7104624560586528</v>
      </c>
      <c r="Q64" s="17">
        <f t="shared" si="46"/>
        <v>6.2474132560075812</v>
      </c>
      <c r="R64" s="17">
        <f t="shared" si="46"/>
        <v>5.8896383109978805</v>
      </c>
      <c r="S64" s="17">
        <f t="shared" si="46"/>
        <v>5.6115413473908227</v>
      </c>
      <c r="T64" s="17">
        <f t="shared" si="46"/>
        <v>5.3903270650200392</v>
      </c>
      <c r="U64" s="17">
        <f t="shared" si="46"/>
        <v>5.2061466510670309</v>
      </c>
      <c r="V64" s="17">
        <f t="shared" si="46"/>
        <v>5.0422737356565923</v>
      </c>
    </row>
    <row r="65" spans="7:22" x14ac:dyDescent="0.25">
      <c r="G65" s="29">
        <f t="shared" si="44"/>
        <v>1.2</v>
      </c>
      <c r="H65" s="17">
        <f t="shared" si="46"/>
        <v>10.001498322003698</v>
      </c>
      <c r="I65" s="17">
        <f t="shared" si="46"/>
        <v>10.130808936490759</v>
      </c>
      <c r="J65" s="17">
        <f t="shared" si="46"/>
        <v>10.317173429925614</v>
      </c>
      <c r="K65" s="17">
        <f t="shared" si="46"/>
        <v>10.652358023671848</v>
      </c>
      <c r="L65" s="17">
        <f t="shared" si="46"/>
        <v>11.378484061166361</v>
      </c>
      <c r="M65" s="17">
        <f t="shared" si="46"/>
        <v>9.3131688116703231</v>
      </c>
      <c r="N65" s="17">
        <f t="shared" si="46"/>
        <v>8.025575222082372</v>
      </c>
      <c r="O65" s="17">
        <f t="shared" si="46"/>
        <v>7.1318011731665321</v>
      </c>
      <c r="P65" s="17">
        <f t="shared" si="46"/>
        <v>6.4925638397053271</v>
      </c>
      <c r="Q65" s="17">
        <f t="shared" si="46"/>
        <v>6.0322047832365211</v>
      </c>
      <c r="R65" s="17">
        <f t="shared" si="46"/>
        <v>5.7028509859778236</v>
      </c>
      <c r="S65" s="17">
        <f t="shared" si="46"/>
        <v>5.4678684442860144</v>
      </c>
      <c r="T65" s="17">
        <f t="shared" si="46"/>
        <v>5.2974197871602575</v>
      </c>
      <c r="U65" s="17">
        <f t="shared" si="46"/>
        <v>5.1680477407221073</v>
      </c>
      <c r="V65" s="17">
        <f t="shared" si="46"/>
        <v>5.0617375158639772</v>
      </c>
    </row>
    <row r="66" spans="7:22" x14ac:dyDescent="0.25">
      <c r="G66" s="29">
        <f t="shared" si="44"/>
        <v>1</v>
      </c>
      <c r="H66" s="13">
        <f t="shared" si="46"/>
        <v>10</v>
      </c>
      <c r="I66" s="13">
        <f t="shared" si="46"/>
        <v>10.173114658659474</v>
      </c>
      <c r="J66" s="13">
        <f t="shared" si="46"/>
        <v>10.436411549629875</v>
      </c>
      <c r="K66" s="13">
        <f t="shared" si="46"/>
        <v>10.954995476003567</v>
      </c>
      <c r="L66" s="13">
        <f t="shared" si="46"/>
        <v>12.592502081259445</v>
      </c>
      <c r="M66" s="17">
        <f t="shared" si="46"/>
        <v>9.4643437668402441</v>
      </c>
      <c r="N66" s="17">
        <f t="shared" si="46"/>
        <v>7.7802969541022247</v>
      </c>
      <c r="O66" s="17">
        <f t="shared" si="46"/>
        <v>6.7999615136829057</v>
      </c>
      <c r="P66" s="17">
        <f t="shared" si="46"/>
        <v>6.1543578073770044</v>
      </c>
      <c r="Q66" s="17">
        <f t="shared" si="46"/>
        <v>5.720951998432092</v>
      </c>
      <c r="R66" s="17">
        <f t="shared" si="46"/>
        <v>5.4410893812841774</v>
      </c>
      <c r="S66" s="17">
        <f t="shared" si="46"/>
        <v>5.2690811167420266</v>
      </c>
      <c r="T66" s="17">
        <f t="shared" si="46"/>
        <v>5.1673069389916835</v>
      </c>
      <c r="U66" s="17">
        <f t="shared" si="46"/>
        <v>5.1081146623267557</v>
      </c>
      <c r="V66" s="17">
        <f t="shared" si="46"/>
        <v>5.0730243430222695</v>
      </c>
    </row>
    <row r="67" spans="7:22" x14ac:dyDescent="0.25">
      <c r="G67" s="29">
        <f t="shared" si="44"/>
        <v>0.8</v>
      </c>
      <c r="H67" s="4"/>
      <c r="I67" s="4"/>
      <c r="J67" s="4"/>
      <c r="K67" s="4"/>
      <c r="L67" s="22"/>
      <c r="M67" s="14">
        <f t="shared" si="46"/>
        <v>8.2702996211034421</v>
      </c>
      <c r="N67" s="17">
        <f t="shared" si="46"/>
        <v>7.0847759222678439</v>
      </c>
      <c r="O67" s="17">
        <f t="shared" si="46"/>
        <v>6.2648157391797517</v>
      </c>
      <c r="P67" s="17">
        <f t="shared" si="46"/>
        <v>5.6819903619711516</v>
      </c>
      <c r="Q67" s="17">
        <f t="shared" si="46"/>
        <v>5.302257711576539</v>
      </c>
      <c r="R67" s="17">
        <f t="shared" si="46"/>
        <v>5.0968340585603338</v>
      </c>
      <c r="S67" s="17">
        <f t="shared" si="46"/>
        <v>5.0122724409702579</v>
      </c>
      <c r="T67" s="17">
        <f t="shared" si="46"/>
        <v>4.9990788923982841</v>
      </c>
      <c r="U67" s="17">
        <f t="shared" si="46"/>
        <v>5.0245644533425038</v>
      </c>
      <c r="V67" s="17">
        <f t="shared" si="46"/>
        <v>5.0712586769071306</v>
      </c>
    </row>
    <row r="68" spans="7:22" x14ac:dyDescent="0.25">
      <c r="G68" s="29">
        <f t="shared" si="44"/>
        <v>0.60000000000000009</v>
      </c>
      <c r="H68" s="4"/>
      <c r="I68" s="4"/>
      <c r="J68" s="4"/>
      <c r="K68" s="4"/>
      <c r="L68" s="4"/>
      <c r="M68" s="22"/>
      <c r="N68" s="14">
        <f t="shared" si="46"/>
        <v>6.3564900601596372</v>
      </c>
      <c r="O68" s="17">
        <f t="shared" si="46"/>
        <v>5.6337579021003732</v>
      </c>
      <c r="P68" s="17">
        <f t="shared" si="46"/>
        <v>5.1018440080765384</v>
      </c>
      <c r="Q68" s="17">
        <f t="shared" si="46"/>
        <v>4.7700778266543837</v>
      </c>
      <c r="R68" s="17">
        <f t="shared" si="46"/>
        <v>4.6666278436660722</v>
      </c>
      <c r="S68" s="17">
        <f t="shared" si="46"/>
        <v>4.7021982940248002</v>
      </c>
      <c r="T68" s="17">
        <f t="shared" si="46"/>
        <v>4.8000031138529282</v>
      </c>
      <c r="U68" s="17">
        <f t="shared" si="46"/>
        <v>4.9220300917812727</v>
      </c>
      <c r="V68" s="17">
        <f t="shared" si="46"/>
        <v>5.0558082914289635</v>
      </c>
    </row>
    <row r="69" spans="7:22" x14ac:dyDescent="0.25">
      <c r="G69" s="29">
        <f t="shared" si="44"/>
        <v>0.4</v>
      </c>
      <c r="H69" s="4"/>
      <c r="I69" s="4"/>
      <c r="J69" s="4"/>
      <c r="K69" s="4"/>
      <c r="L69" s="4"/>
      <c r="M69" s="45"/>
      <c r="N69" s="22"/>
      <c r="O69" s="14">
        <f t="shared" si="46"/>
        <v>5.0338657960146636</v>
      </c>
      <c r="P69" s="17">
        <f t="shared" si="46"/>
        <v>4.4398429234630692</v>
      </c>
      <c r="Q69" s="17">
        <f t="shared" si="46"/>
        <v>4.0939278212494621</v>
      </c>
      <c r="R69" s="17">
        <f t="shared" si="46"/>
        <v>4.15053735432876</v>
      </c>
      <c r="S69" s="17">
        <f t="shared" si="46"/>
        <v>4.3594844397444916</v>
      </c>
      <c r="T69" s="17">
        <f t="shared" si="46"/>
        <v>4.591882838748031</v>
      </c>
      <c r="U69" s="17">
        <f t="shared" si="46"/>
        <v>4.8149907071901321</v>
      </c>
      <c r="V69" s="17">
        <f t="shared" si="46"/>
        <v>5.0316996973181149</v>
      </c>
    </row>
    <row r="70" spans="7:22" x14ac:dyDescent="0.25">
      <c r="G70" s="29">
        <f>G71+B$2</f>
        <v>0.2</v>
      </c>
      <c r="H70" s="4"/>
      <c r="I70" s="4"/>
      <c r="J70" s="4"/>
      <c r="K70" s="4"/>
      <c r="L70" s="4"/>
      <c r="M70" s="45"/>
      <c r="N70" s="45"/>
      <c r="O70" s="22"/>
      <c r="P70" s="14">
        <f t="shared" si="46"/>
        <v>3.7878700381386943</v>
      </c>
      <c r="Q70" s="17">
        <f t="shared" si="46"/>
        <v>3.151686488348914</v>
      </c>
      <c r="R70" s="17">
        <f t="shared" si="46"/>
        <v>3.5800781699583775</v>
      </c>
      <c r="S70" s="17">
        <f t="shared" si="46"/>
        <v>4.0448053491136209</v>
      </c>
      <c r="T70" s="17">
        <f t="shared" si="46"/>
        <v>4.4193461065876987</v>
      </c>
      <c r="U70" s="17">
        <f t="shared" si="46"/>
        <v>4.7292591976861633</v>
      </c>
      <c r="V70" s="17">
        <f t="shared" si="46"/>
        <v>5.0092591196587639</v>
      </c>
    </row>
    <row r="71" spans="7:22" x14ac:dyDescent="0.25">
      <c r="G71" s="29">
        <v>0</v>
      </c>
      <c r="H71" s="4"/>
      <c r="I71" s="4"/>
      <c r="J71" s="4"/>
      <c r="K71" s="4"/>
      <c r="L71" s="4"/>
      <c r="M71" s="45"/>
      <c r="N71" s="45"/>
      <c r="O71" s="45"/>
      <c r="P71" s="22"/>
      <c r="Q71" s="16">
        <f t="shared" si="46"/>
        <v>2.1615878317338133</v>
      </c>
      <c r="R71" s="39">
        <f t="shared" si="46"/>
        <v>3.2506612965464612</v>
      </c>
      <c r="S71" s="39">
        <f t="shared" si="46"/>
        <v>3.9019658760691942</v>
      </c>
      <c r="T71" s="39">
        <f t="shared" si="46"/>
        <v>4.3489248620398655</v>
      </c>
      <c r="U71" s="39">
        <f t="shared" si="46"/>
        <v>4.6955711447899686</v>
      </c>
      <c r="V71" s="39">
        <f t="shared" si="46"/>
        <v>5</v>
      </c>
    </row>
    <row r="72" spans="7:22" x14ac:dyDescent="0.25">
      <c r="G72" s="4"/>
      <c r="H72" s="29">
        <v>0</v>
      </c>
      <c r="I72" s="29">
        <f>H72+$B$2</f>
        <v>0.2</v>
      </c>
      <c r="J72" s="29">
        <f t="shared" ref="J72:V72" si="47">I72+$B$2</f>
        <v>0.4</v>
      </c>
      <c r="K72" s="29">
        <f t="shared" si="47"/>
        <v>0.60000000000000009</v>
      </c>
      <c r="L72" s="29">
        <f t="shared" si="47"/>
        <v>0.8</v>
      </c>
      <c r="M72" s="29">
        <f t="shared" si="47"/>
        <v>1</v>
      </c>
      <c r="N72" s="29">
        <f t="shared" si="47"/>
        <v>1.2</v>
      </c>
      <c r="O72" s="29">
        <f t="shared" si="47"/>
        <v>1.4</v>
      </c>
      <c r="P72" s="29">
        <f t="shared" si="47"/>
        <v>1.5999999999999999</v>
      </c>
      <c r="Q72" s="29">
        <f t="shared" si="47"/>
        <v>1.7999999999999998</v>
      </c>
      <c r="R72" s="29">
        <f t="shared" si="47"/>
        <v>1.9999999999999998</v>
      </c>
      <c r="S72" s="29">
        <f t="shared" si="47"/>
        <v>2.1999999999999997</v>
      </c>
      <c r="T72" s="29">
        <f t="shared" si="47"/>
        <v>2.4</v>
      </c>
      <c r="U72" s="29">
        <f t="shared" si="47"/>
        <v>2.6</v>
      </c>
      <c r="V72" s="29">
        <f t="shared" si="47"/>
        <v>2.8000000000000003</v>
      </c>
    </row>
  </sheetData>
  <conditionalFormatting sqref="H19:V2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2021-05-22T12:58:55Z</dcterms:created>
  <dcterms:modified xsi:type="dcterms:W3CDTF">2021-05-22T16:09:14Z</dcterms:modified>
</cp:coreProperties>
</file>